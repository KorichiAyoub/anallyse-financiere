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CTIF" sheetId="1" state="visible" r:id="rId3"/>
    <sheet name="PASSIF" sheetId="2" state="visible" r:id="rId4"/>
    <sheet name="Journal_retraitement" sheetId="3" state="visible" r:id="rId5"/>
    <sheet name="Bilan_financier" sheetId="4" state="visible" r:id="rId6"/>
    <sheet name="TR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<sst xmlns="http://schemas.openxmlformats.org/spreadsheetml/2006/main" count="216" uniqueCount="159">
  <si>
    <t xml:space="preserve">Actif</t>
  </si>
  <si>
    <t xml:space="preserve">Exercice  2025</t>
  </si>
  <si>
    <t xml:space="preserve">TAFADIS</t>
  </si>
  <si>
    <t xml:space="preserve">Libellé</t>
  </si>
  <si>
    <t xml:space="preserve">Brut </t>
  </si>
  <si>
    <t xml:space="preserve">Amorti. / Provo.</t>
  </si>
  <si>
    <t xml:space="preserve">Net 2025</t>
  </si>
  <si>
    <t xml:space="preserve">ACTIFS NON COURANTS</t>
  </si>
  <si>
    <t xml:space="preserve">Ecart d’acquisition (ou goodwill)</t>
  </si>
  <si>
    <t xml:space="preserve">Immobilisations incorporelles</t>
  </si>
  <si>
    <t xml:space="preserve">Immobilisations corporelles </t>
  </si>
  <si>
    <t xml:space="preserve"> Terrains</t>
  </si>
  <si>
    <t xml:space="preserve"> Bâtiments</t>
  </si>
  <si>
    <t xml:space="preserve"> Autres immobilisations Corporelles</t>
  </si>
  <si>
    <t xml:space="preserve"> Immobilisations en concession</t>
  </si>
  <si>
    <t xml:space="preserve">Immobilisations en cours</t>
  </si>
  <si>
    <t xml:space="preserve">Immobilisations financières</t>
  </si>
  <si>
    <t xml:space="preserve"> Titres mis en équivalence</t>
  </si>
  <si>
    <t xml:space="preserve"> Autres participations et créances rattachées</t>
  </si>
  <si>
    <t xml:space="preserve"> Autres titres immobilisés</t>
  </si>
  <si>
    <t xml:space="preserve"> Prêts et autres actifs financiers  non courants</t>
  </si>
  <si>
    <t xml:space="preserve"> Impôts différés actif</t>
  </si>
  <si>
    <t xml:space="preserve"> TOTAL ACTIF NON COURANT</t>
  </si>
  <si>
    <t xml:space="preserve">ACTIF COURANT</t>
  </si>
  <si>
    <t xml:space="preserve">Stocks et encours</t>
  </si>
  <si>
    <t xml:space="preserve">Créances et emplois assimilés</t>
  </si>
  <si>
    <t xml:space="preserve"> Clients</t>
  </si>
  <si>
    <t xml:space="preserve"> Autres débiteurs</t>
  </si>
  <si>
    <t xml:space="preserve"> Impôts et assimilés</t>
  </si>
  <si>
    <t xml:space="preserve"> Autres créances et emplois  Assimilés</t>
  </si>
  <si>
    <t xml:space="preserve">Disponibilités et assimilés</t>
  </si>
  <si>
    <t xml:space="preserve">Placements et autres actifs  financiers courants</t>
  </si>
  <si>
    <t xml:space="preserve"> Trésorerie</t>
  </si>
  <si>
    <t xml:space="preserve">TOTAL ACTIF COURANT</t>
  </si>
  <si>
    <t xml:space="preserve">TOTAL GENERAL ACTIF</t>
  </si>
  <si>
    <t xml:space="preserve">EXERCICE   2025</t>
  </si>
  <si>
    <t xml:space="preserve">Exercice 2025</t>
  </si>
  <si>
    <t xml:space="preserve">CAPITAUX PROPRES</t>
  </si>
  <si>
    <t xml:space="preserve">Capital émis</t>
  </si>
  <si>
    <t xml:space="preserve">Capital non appelé</t>
  </si>
  <si>
    <t xml:space="preserve">Autres dotations en fonds propres </t>
  </si>
  <si>
    <t xml:space="preserve">Primes et réserves / (Réserves consolidées(1))</t>
  </si>
  <si>
    <t xml:space="preserve">Ecart de réévaluation</t>
  </si>
  <si>
    <t xml:space="preserve">Ecart d’équivalence (1)</t>
  </si>
  <si>
    <t xml:space="preserve">Résultat net  /  (Résultat net part du groupe (1))</t>
  </si>
  <si>
    <t xml:space="preserve">Autres capitaux propres - Report à nouveau</t>
  </si>
  <si>
    <t xml:space="preserve">Compte de Liaison</t>
  </si>
  <si>
    <t xml:space="preserve">Part de la société consolidant (1)</t>
  </si>
  <si>
    <t xml:space="preserve">  Part des minoritaires (1)</t>
  </si>
  <si>
    <t xml:space="preserve">TOTAL CAPITAUX PROPRES I</t>
  </si>
  <si>
    <t xml:space="preserve">PASSIFS NON-COURANTS </t>
  </si>
  <si>
    <t xml:space="preserve">Emprunts et dettes financières</t>
  </si>
  <si>
    <t xml:space="preserve">Impôts (différés et provisionnés)</t>
  </si>
  <si>
    <t xml:space="preserve">Autres dettes non courantes</t>
  </si>
  <si>
    <t xml:space="preserve">Provisions et produits constatés d’avance</t>
  </si>
  <si>
    <t xml:space="preserve">TOTAL PASSIFS NON COURANTS II</t>
  </si>
  <si>
    <t xml:space="preserve">PASSIFS COURANTS </t>
  </si>
  <si>
    <t xml:space="preserve">Fournisseurs et comptes rattachés</t>
  </si>
  <si>
    <t xml:space="preserve">Impôts</t>
  </si>
  <si>
    <t xml:space="preserve">Autres dettes</t>
  </si>
  <si>
    <t xml:space="preserve">Trésorerie passif</t>
  </si>
  <si>
    <t xml:space="preserve">TOTAL PASSIFS COURANTS III</t>
  </si>
  <si>
    <t xml:space="preserve">TOTAL GENERAL PASSIF ( I+II+III)</t>
  </si>
  <si>
    <t xml:space="preserve">perte de valeur  sur les actions </t>
  </si>
  <si>
    <t xml:space="preserve">Journal de retraitements</t>
  </si>
  <si>
    <t xml:space="preserve">Comptes</t>
  </si>
  <si>
    <t xml:space="preserve">Libéllés</t>
  </si>
  <si>
    <t xml:space="preserve">Montants</t>
  </si>
  <si>
    <t xml:space="preserve">Débit</t>
  </si>
  <si>
    <t xml:space="preserve">Crédit</t>
  </si>
  <si>
    <t xml:space="preserve">Retraitement dotations aux amortissements IMMO INCOR</t>
  </si>
  <si>
    <t xml:space="preserve">Retraitement dotations aux amortissements IMMO COR</t>
  </si>
  <si>
    <t xml:space="preserve">Retraitement Provisions sur créance</t>
  </si>
  <si>
    <t xml:space="preserve">Retraitement stocks</t>
  </si>
  <si>
    <t xml:space="preserve">Retraitement des stocks</t>
  </si>
  <si>
    <t xml:space="preserve">Autres retraitements d'actif</t>
  </si>
  <si>
    <t xml:space="preserve">Total journal</t>
  </si>
  <si>
    <t xml:space="preserve">Dettes par age</t>
  </si>
  <si>
    <t xml:space="preserve">Désignations</t>
  </si>
  <si>
    <t xml:space="preserve">Total</t>
  </si>
  <si>
    <t xml:space="preserve">Moins 1 an</t>
  </si>
  <si>
    <t xml:space="preserve">Plus 1 an</t>
  </si>
  <si>
    <t xml:space="preserve">ACTIF</t>
  </si>
  <si>
    <t xml:space="preserve">LIBELLE</t>
  </si>
  <si>
    <t xml:space="preserve">N</t>
  </si>
  <si>
    <t xml:space="preserve">%</t>
  </si>
  <si>
    <t xml:space="preserve">Capitaux Propres</t>
  </si>
  <si>
    <t xml:space="preserve">Ecart d'acquisition-goodwill positif ou négatif</t>
  </si>
  <si>
    <t xml:space="preserve">Primes et réserves -  Réserves consolidées </t>
  </si>
  <si>
    <t xml:space="preserve">Ecart de réévaluationx</t>
  </si>
  <si>
    <t xml:space="preserve">Immobilisations corporelles</t>
  </si>
  <si>
    <t xml:space="preserve">Ecart d'équivalence </t>
  </si>
  <si>
    <t xml:space="preserve">Terrainsx</t>
  </si>
  <si>
    <t xml:space="preserve">Résultat net - Résultat net part du groupe </t>
  </si>
  <si>
    <t xml:space="preserve">Bâtiments</t>
  </si>
  <si>
    <t xml:space="preserve">Autres capitaux propores - Report à nouveau</t>
  </si>
  <si>
    <t xml:space="preserve">Autres immobilisations corporelles</t>
  </si>
  <si>
    <t xml:space="preserve">Part de la société consolidante </t>
  </si>
  <si>
    <t xml:space="preserve">Immobilisations en concession</t>
  </si>
  <si>
    <t xml:space="preserve">Part des minoritaires </t>
  </si>
  <si>
    <t xml:space="preserve">Immobilisations encours</t>
  </si>
  <si>
    <t xml:space="preserve">TOTAL </t>
  </si>
  <si>
    <t xml:space="preserve">D.L.M.T</t>
  </si>
  <si>
    <t xml:space="preserve">Titres mis en équivalence</t>
  </si>
  <si>
    <t xml:space="preserve">Autres participations et créances rattachées</t>
  </si>
  <si>
    <t xml:space="preserve">Autres titres immobilisés</t>
  </si>
  <si>
    <t xml:space="preserve">Prêts et autres actifs financiers non courants</t>
  </si>
  <si>
    <t xml:space="preserve">Provisions et produits constatés d'avance</t>
  </si>
  <si>
    <t xml:space="preserve">Impôts différés actif</t>
  </si>
  <si>
    <t xml:space="preserve">Actifs Fixes</t>
  </si>
  <si>
    <t xml:space="preserve">Clients</t>
  </si>
  <si>
    <t xml:space="preserve">Autres débiteurs</t>
  </si>
  <si>
    <t xml:space="preserve">Impôts et assimilés</t>
  </si>
  <si>
    <t xml:space="preserve">TOTAL  PASSIF </t>
  </si>
  <si>
    <t xml:space="preserve">Autres créances et emplois assimilés</t>
  </si>
  <si>
    <t xml:space="preserve">Placements et autres actifs financiers courants</t>
  </si>
  <si>
    <t xml:space="preserve">Trésorerie</t>
  </si>
  <si>
    <t xml:space="preserve">Actifs  circulants</t>
  </si>
  <si>
    <t xml:space="preserve">Disponibilités </t>
  </si>
  <si>
    <t xml:space="preserve">TOTAL  ACTIF</t>
  </si>
  <si>
    <t xml:space="preserve">PASSIF</t>
  </si>
  <si>
    <t xml:space="preserve">Capitaux                     permanents</t>
  </si>
  <si>
    <t xml:space="preserve">D.C.T</t>
  </si>
  <si>
    <t xml:space="preserve">réalisation 2025</t>
  </si>
  <si>
    <t xml:space="preserve">réalisation 2024</t>
  </si>
  <si>
    <t xml:space="preserve">Evolution %  (25 / 24)</t>
  </si>
  <si>
    <t xml:space="preserve">Vente et produits annexes (CHIFFRE D'AFFAIRES)</t>
  </si>
  <si>
    <t xml:space="preserve">Variation stocks produits finis et en cours</t>
  </si>
  <si>
    <t xml:space="preserve">Production immobilisée</t>
  </si>
  <si>
    <t xml:space="preserve">Subventions d'exploitation</t>
  </si>
  <si>
    <t xml:space="preserve">I-Production de l’exercice :</t>
  </si>
  <si>
    <t xml:space="preserve">Achats consommés</t>
  </si>
  <si>
    <t xml:space="preserve">Services extérieurs et autres consommations</t>
  </si>
  <si>
    <t xml:space="preserve">II-Consommations de l’exercice</t>
  </si>
  <si>
    <t xml:space="preserve">III-Valeur ajoutée d’exploitation :</t>
  </si>
  <si>
    <t xml:space="preserve">Charges de personnels</t>
  </si>
  <si>
    <t xml:space="preserve">Impôts, taxes et versements assimilés</t>
  </si>
  <si>
    <t xml:space="preserve">IV- Excédent brut d’exploitation :</t>
  </si>
  <si>
    <t xml:space="preserve">Autres produits opérationnels</t>
  </si>
  <si>
    <t xml:space="preserve">Autres charges opérationnels</t>
  </si>
  <si>
    <t xml:space="preserve">Dot aux amortissements et provisions</t>
  </si>
  <si>
    <t xml:space="preserve">Reprise sur pertes de valeur et provisions</t>
  </si>
  <si>
    <t xml:space="preserve">V- Résultat opérationnel</t>
  </si>
  <si>
    <t xml:space="preserve">Produits financiers</t>
  </si>
  <si>
    <t xml:space="preserve">Charges financières</t>
  </si>
  <si>
    <t xml:space="preserve">VI- Résultat financier :</t>
  </si>
  <si>
    <t xml:space="preserve">VII-Résultat ordinaire avant impôt (v + vi) :</t>
  </si>
  <si>
    <t xml:space="preserve">Impôts exigibles sur résultats ordinaires</t>
  </si>
  <si>
    <t xml:space="preserve">Impôts différé (variation) sur résultat ordinaires</t>
  </si>
  <si>
    <t xml:space="preserve">TOTAL DES PRODUITS DES ACTIVITES ORDINAIRES</t>
  </si>
  <si>
    <t xml:space="preserve">TOTAL DES CHARGES DES ACTIVITES ORDINAIRES</t>
  </si>
  <si>
    <t xml:space="preserve">VIII.RESULTAT NET DES ACTIVITES ORDINAIRES</t>
  </si>
  <si>
    <t xml:space="preserve">Eléments extraordinaire (produits) (à préciser)</t>
  </si>
  <si>
    <t xml:space="preserve">Eléments extraordinaire (charges) (à préciser)</t>
  </si>
  <si>
    <t xml:space="preserve">Résultat Net de l'exercice</t>
  </si>
  <si>
    <t xml:space="preserve">CAF</t>
  </si>
  <si>
    <t xml:space="preserve">Actif net</t>
  </si>
  <si>
    <t xml:space="preserve">Investissement</t>
  </si>
  <si>
    <t xml:space="preserve">Exercice 2024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</si>
</sst>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#,##0.00"/>
    <numFmt numFmtId="166" formatCode="\ #,##0.00&quot;   &quot;;\-#,##0.00&quot;   &quot;;\-00&quot;   &quot;;\ @\ "/>
    <numFmt numFmtId="167" formatCode="0%"/>
    <numFmt numFmtId="168" formatCode="\ #,##0.00\ ;\-#,##0.00\ ;\-00\ ;\ @\ "/>
    <numFmt numFmtId="169" formatCode="\ 0\ ;\-0\ ;\-00\ ;\ @\ "/>
    <numFmt numFmtId="170" formatCode="\ #,##0.000000&quot;   &quot;;\-#,##0.000000&quot;   &quot;;\-00&quot;   &quot;;\ @\ "/>
    <numFmt numFmtId="171" formatCode="0.00"/>
  </numFmts>
  <fonts count="16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  <charset val="1"/>
    </font>
    <font>
      <b val="true"/>
      <sz val="14"/>
      <color rgb="FF000000"/>
      <name val="Calibri"/>
      <family val="0"/>
      <charset val="1"/>
    </font>
    <font>
      <b val="true"/>
      <sz val="10"/>
      <color rgb="FF000000"/>
      <name val="Calibri"/>
      <family val="0"/>
      <charset val="1"/>
    </font>
    <font>
      <sz val="10"/>
      <color rgb="FF000000"/>
      <name val="Calibri"/>
      <family val="0"/>
      <charset val="1"/>
    </font>
    <font>
      <b val="true"/>
      <sz val="11"/>
      <color rgb="FFFF0000"/>
      <name val="Calibri"/>
      <family val="0"/>
      <charset val="1"/>
    </font>
    <font>
      <b val="true"/>
      <sz val="16"/>
      <color rgb="FF000000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1"/>
      <color rgb="FF005E00"/>
      <name val="Arial"/>
      <family val="0"/>
      <charset val="1"/>
    </font>
    <font>
      <sz val="9"/>
      <color rgb="FF000000"/>
      <name val="Calibri"/>
      <family val="0"/>
      <charset val="1"/>
    </font>
    <font>
      <b val="true"/>
      <sz val="9"/>
      <color rgb="FF000000"/>
      <name val="Calibri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D9E1F2"/>
        <bgColor rgb="FFDDEBF7"/>
      </patternFill>
    </fill>
    <fill>
      <patternFill patternType="solid">
        <fgColor rgb="FFE2EFDA"/>
        <bgColor rgb="FFDDEBF7"/>
      </patternFill>
    </fill>
    <fill>
      <patternFill patternType="solid">
        <fgColor rgb="FFDDEBF7"/>
        <bgColor rgb="FFD9E1F2"/>
      </patternFill>
    </fill>
    <fill>
      <patternFill patternType="solid">
        <fgColor rgb="FFB4C6E7"/>
        <bgColor rgb="FFB8CCE4"/>
      </patternFill>
    </fill>
    <fill>
      <patternFill patternType="solid">
        <fgColor rgb="FFFFE699"/>
        <bgColor rgb="FFFFCC99"/>
      </patternFill>
    </fill>
    <fill>
      <patternFill patternType="solid">
        <fgColor rgb="FFBDD6EE"/>
        <bgColor rgb="FFB8CCE4"/>
      </patternFill>
    </fill>
    <fill>
      <patternFill patternType="solid">
        <fgColor rgb="FFB8CCE4"/>
        <bgColor rgb="FFB4C6E7"/>
      </patternFill>
    </fill>
  </fills>
  <borders count="19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/>
      <right/>
      <top style="medium"/>
      <bottom style="medium"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medium"/>
      <right/>
      <top/>
      <bottom style="medium"/>
      <diagonal/>
    </border>
    <border diagonalUp="false" diagonalDown="false">
      <left style="medium"/>
      <right/>
      <top style="hair"/>
      <bottom/>
      <diagonal/>
    </border>
    <border diagonalUp="false" diagonalDown="false">
      <left style="medium"/>
      <right style="medium"/>
      <top style="hair"/>
      <bottom/>
      <diagonal/>
    </border>
    <border diagonalUp="false" diagonalDown="false">
      <left style="medium"/>
      <right style="medium"/>
      <top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 style="medium"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hair">
        <color rgb="FFFFFFFF"/>
      </right>
      <top style="hair">
        <color rgb="FFFFFFFF"/>
      </top>
      <bottom style="hair">
        <color rgb="FFFFFFFF"/>
      </bottom>
      <diagonal/>
    </border>
    <border diagonalUp="false" diagonalDown="false">
      <left/>
      <right style="hair">
        <color rgb="FFFFFFFF"/>
      </right>
      <top style="hair">
        <color rgb="FFFFFFFF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2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4" fillId="0" borderId="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4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2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4" fillId="2" borderId="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4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0" fillId="0" borderId="3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7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8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0" fillId="0" borderId="3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3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4" fillId="3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4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4" fillId="2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4" fillId="0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4" fillId="2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2" borderId="1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0" fillId="2" borderId="3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0" fillId="2" borderId="1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4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4" fillId="2" borderId="1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4" fillId="2" borderId="5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9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0" fillId="0" borderId="11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0" borderId="11" xfId="0" applyFont="fals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12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0" borderId="12" xfId="0" applyFont="fals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2" borderId="1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2" borderId="5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4" fillId="2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3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13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5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1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9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16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3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5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4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6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4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0" fillId="4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0" fillId="0" borderId="1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0" fillId="0" borderId="9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0" fillId="0" borderId="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0" fillId="0" borderId="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0" fillId="4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10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0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10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0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11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3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3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4" fillId="0" borderId="9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4" fillId="0" borderId="1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6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6" fillId="5" borderId="5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6" fillId="7" borderId="5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9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4" fillId="0" borderId="1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5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0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5" fillId="0" borderId="5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4" fillId="0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6" fillId="8" borderId="5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1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8" fontId="4" fillId="0" borderId="1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4" fillId="0" borderId="18" xfId="0" applyFont="true" applyBorder="tru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5E00"/>
      <rgbColor rgb="FF000080"/>
      <rgbColor rgb="FF808000"/>
      <rgbColor rgb="FF800080"/>
      <rgbColor rgb="FF008080"/>
      <rgbColor rgb="FFB4C6E7"/>
      <rgbColor rgb="FF808080"/>
      <rgbColor rgb="FF9999FF"/>
      <rgbColor rgb="FF993366"/>
      <rgbColor rgb="FFFFFFCC"/>
      <rgbColor rgb="FFDDEBF7"/>
      <rgbColor rgb="FF660066"/>
      <rgbColor rgb="FFFF8080"/>
      <rgbColor rgb="FF0066CC"/>
      <rgbColor rgb="FFBDD6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1F2"/>
      <rgbColor rgb="FFE2EFDA"/>
      <rgbColor rgb="FFFFE699"/>
      <rgbColor rgb="FFB8CCE4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zeroHeight="false" outlineLevelRow="0" outlineLevelCol="0"/>
  <cols>
    <col collapsed="false" customWidth="true" hidden="false" outlineLevel="0" max="1" min="1" style="1" width="37.29"/>
    <col collapsed="false" customWidth="true" hidden="false" outlineLevel="0" max="2" min="2" style="1" width="18.57"/>
    <col collapsed="false" customWidth="true" hidden="false" outlineLevel="0" max="4" min="3" style="1" width="17.57"/>
    <col collapsed="false" customWidth="true" hidden="false" outlineLevel="0" max="7" min="5" style="1" width="10.85"/>
    <col collapsed="false" customWidth="true" hidden="false" outlineLevel="0" max="8" min="8" style="1" width="34.71"/>
    <col collapsed="false" customWidth="true" hidden="false" outlineLevel="0" max="9" min="9" style="1" width="21.57"/>
    <col collapsed="false" customWidth="true" hidden="false" outlineLevel="0" max="10" min="10" style="1" width="11"/>
    <col collapsed="false" customWidth="true" hidden="false" outlineLevel="0" max="11" min="11" style="1" width="1.85"/>
    <col collapsed="false" customWidth="true" hidden="false" outlineLevel="0" max="12" min="12" style="1" width="47.14"/>
    <col collapsed="false" customWidth="true" hidden="false" outlineLevel="0" max="13" min="13" style="1" width="23.43"/>
    <col collapsed="false" customWidth="true" hidden="false" outlineLevel="0" max="14" min="14" style="1" width="13.86"/>
    <col collapsed="false" customWidth="true" hidden="false" outlineLevel="0" max="15" min="15" style="1" width="10.85"/>
    <col collapsed="false" customWidth="true" hidden="false" outlineLevel="0" max="26" min="16" style="1" width="8.71"/>
  </cols>
  <sheetData>
    <row r="1" customFormat="false" ht="17.25" hidden="false" customHeight="true" outlineLevel="0" collapsed="false">
      <c r="A1" s="2" t="s">
        <v>0</v>
      </c>
      <c r="B1" s="3" t="s">
        <v>1</v>
      </c>
      <c r="D1" s="4"/>
    </row>
    <row r="2" customFormat="false" ht="15" hidden="false" customHeight="true" outlineLevel="0" collapsed="false">
      <c r="A2" s="2"/>
      <c r="B2" s="2" t="s">
        <v>2</v>
      </c>
      <c r="C2" s="2"/>
      <c r="D2" s="5"/>
    </row>
    <row r="3" customFormat="false" ht="15" hidden="false" customHeight="true" outlineLevel="0" collapsed="false">
      <c r="A3" s="6" t="s">
        <v>3</v>
      </c>
      <c r="B3" s="7" t="s">
        <v>4</v>
      </c>
      <c r="C3" s="7" t="s">
        <v>5</v>
      </c>
      <c r="D3" s="7" t="s">
        <v>6</v>
      </c>
      <c r="I3" s="8"/>
      <c r="K3" s="8"/>
    </row>
    <row r="4" customFormat="false" ht="15" hidden="false" customHeight="true" outlineLevel="0" collapsed="false">
      <c r="A4" s="9" t="s">
        <v>7</v>
      </c>
      <c r="B4" s="10"/>
      <c r="C4" s="10"/>
      <c r="D4" s="11"/>
    </row>
    <row r="5" customFormat="false" ht="15" hidden="false" customHeight="true" outlineLevel="0" collapsed="false">
      <c r="A5" s="12" t="s">
        <v>8</v>
      </c>
      <c r="B5" s="13"/>
      <c r="C5" s="13"/>
      <c r="D5" s="12"/>
    </row>
    <row r="6" customFormat="false" ht="15" hidden="false" customHeight="true" outlineLevel="0" collapsed="false">
      <c r="A6" s="14" t="s">
        <v>9</v>
      </c>
      <c r="B6" s="15" t="n">
        <v>790800</v>
      </c>
      <c r="C6" s="15" t="n">
        <v>566800</v>
      </c>
      <c r="D6" s="16" t="n">
        <f aca="false">B6-C6</f>
        <v>224000</v>
      </c>
    </row>
    <row r="7" customFormat="false" ht="15" hidden="false" customHeight="true" outlineLevel="0" collapsed="false">
      <c r="A7" s="17" t="s">
        <v>10</v>
      </c>
      <c r="B7" s="18" t="n">
        <f aca="false">SUM(B8:B11)</f>
        <v>81711786</v>
      </c>
      <c r="C7" s="18" t="n">
        <f aca="false">SUM(C8:C11)</f>
        <v>39512791</v>
      </c>
      <c r="D7" s="19" t="n">
        <f aca="false">SUM(D8:D11)</f>
        <v>42198995</v>
      </c>
    </row>
    <row r="8" customFormat="false" ht="15" hidden="false" customHeight="true" outlineLevel="0" collapsed="false">
      <c r="A8" s="20" t="s">
        <v>11</v>
      </c>
      <c r="B8" s="21"/>
      <c r="C8" s="22"/>
      <c r="D8" s="23"/>
      <c r="L8" s="8"/>
    </row>
    <row r="9" customFormat="false" ht="15" hidden="false" customHeight="true" outlineLevel="0" collapsed="false">
      <c r="A9" s="20" t="s">
        <v>12</v>
      </c>
      <c r="B9" s="21" t="n">
        <v>0</v>
      </c>
      <c r="C9" s="21" t="n">
        <v>0</v>
      </c>
      <c r="D9" s="24"/>
      <c r="I9" s="8"/>
    </row>
    <row r="10" customFormat="false" ht="15" hidden="false" customHeight="true" outlineLevel="0" collapsed="false">
      <c r="A10" s="25" t="s">
        <v>13</v>
      </c>
      <c r="B10" s="26" t="n">
        <v>81711786</v>
      </c>
      <c r="C10" s="26" t="n">
        <v>39512791</v>
      </c>
      <c r="D10" s="27" t="n">
        <f aca="false">B10-C10</f>
        <v>42198995</v>
      </c>
    </row>
    <row r="11" customFormat="false" ht="15" hidden="false" customHeight="true" outlineLevel="0" collapsed="false">
      <c r="A11" s="28" t="s">
        <v>14</v>
      </c>
      <c r="B11" s="26"/>
      <c r="C11" s="26" t="n">
        <v>0</v>
      </c>
      <c r="D11" s="27"/>
    </row>
    <row r="12" customFormat="false" ht="15" hidden="false" customHeight="true" outlineLevel="0" collapsed="false">
      <c r="A12" s="29" t="s">
        <v>15</v>
      </c>
      <c r="B12" s="30"/>
      <c r="C12" s="30"/>
      <c r="D12" s="31"/>
      <c r="O12" s="32"/>
    </row>
    <row r="13" customFormat="false" ht="15" hidden="false" customHeight="true" outlineLevel="0" collapsed="false">
      <c r="A13" s="17" t="s">
        <v>16</v>
      </c>
      <c r="B13" s="33" t="n">
        <f aca="false">SUM(B14:B17)</f>
        <v>1326600</v>
      </c>
      <c r="C13" s="33" t="n">
        <f aca="false">SUM(C14:C17)</f>
        <v>0</v>
      </c>
      <c r="D13" s="33" t="n">
        <f aca="false">SUM(D14:D17)</f>
        <v>1326600</v>
      </c>
      <c r="I13" s="34"/>
    </row>
    <row r="14" customFormat="false" ht="15" hidden="false" customHeight="true" outlineLevel="0" collapsed="false">
      <c r="A14" s="20" t="s">
        <v>17</v>
      </c>
      <c r="B14" s="26" t="n">
        <v>0</v>
      </c>
      <c r="C14" s="26" t="n">
        <v>0</v>
      </c>
      <c r="D14" s="27" t="n">
        <f aca="false">B14-C14</f>
        <v>0</v>
      </c>
    </row>
    <row r="15" customFormat="false" ht="15" hidden="false" customHeight="true" outlineLevel="0" collapsed="false">
      <c r="A15" s="20" t="s">
        <v>18</v>
      </c>
      <c r="B15" s="35" t="n">
        <v>0</v>
      </c>
      <c r="C15" s="35" t="n">
        <v>0</v>
      </c>
      <c r="D15" s="27" t="n">
        <f aca="false">B15-C15</f>
        <v>0</v>
      </c>
    </row>
    <row r="16" customFormat="false" ht="15" hidden="false" customHeight="true" outlineLevel="0" collapsed="false">
      <c r="A16" s="14" t="s">
        <v>19</v>
      </c>
      <c r="B16" s="26" t="n">
        <v>0</v>
      </c>
      <c r="C16" s="26" t="n">
        <v>0</v>
      </c>
      <c r="D16" s="27" t="n">
        <f aca="false">B16-C16</f>
        <v>0</v>
      </c>
    </row>
    <row r="17" customFormat="false" ht="15" hidden="false" customHeight="true" outlineLevel="0" collapsed="false">
      <c r="A17" s="28" t="s">
        <v>20</v>
      </c>
      <c r="B17" s="26" t="n">
        <v>1326600</v>
      </c>
      <c r="C17" s="26" t="n">
        <v>0</v>
      </c>
      <c r="D17" s="27" t="n">
        <f aca="false">B17-C17</f>
        <v>1326600</v>
      </c>
    </row>
    <row r="18" customFormat="false" ht="15" hidden="false" customHeight="true" outlineLevel="0" collapsed="false">
      <c r="A18" s="29" t="s">
        <v>21</v>
      </c>
      <c r="B18" s="30" t="n">
        <v>5900437</v>
      </c>
      <c r="C18" s="30"/>
      <c r="D18" s="31" t="n">
        <f aca="false">B18-C18</f>
        <v>5900437</v>
      </c>
    </row>
    <row r="19" customFormat="false" ht="15" hidden="false" customHeight="true" outlineLevel="0" collapsed="false">
      <c r="A19" s="36" t="s">
        <v>22</v>
      </c>
      <c r="B19" s="37" t="n">
        <f aca="false">B6+B7+B12+B13+B18</f>
        <v>89729623</v>
      </c>
      <c r="C19" s="37" t="n">
        <f aca="false">C5+C6+C7+C12+C13+C18</f>
        <v>40079591</v>
      </c>
      <c r="D19" s="19" t="n">
        <f aca="false">D6+D7+D12+D13+D18</f>
        <v>49650032</v>
      </c>
    </row>
    <row r="20" customFormat="false" ht="15" hidden="false" customHeight="true" outlineLevel="0" collapsed="false">
      <c r="A20" s="38" t="s">
        <v>23</v>
      </c>
      <c r="B20" s="39"/>
      <c r="C20" s="39"/>
      <c r="D20" s="40"/>
    </row>
    <row r="21" customFormat="false" ht="15.75" hidden="false" customHeight="true" outlineLevel="0" collapsed="false">
      <c r="A21" s="28" t="s">
        <v>24</v>
      </c>
      <c r="B21" s="35" t="n">
        <v>2873630</v>
      </c>
      <c r="C21" s="35" t="n">
        <v>0</v>
      </c>
      <c r="D21" s="41" t="n">
        <f aca="false">B21-C21</f>
        <v>2873630</v>
      </c>
    </row>
    <row r="22" customFormat="false" ht="15.75" hidden="false" customHeight="true" outlineLevel="0" collapsed="false">
      <c r="A22" s="17" t="s">
        <v>25</v>
      </c>
      <c r="B22" s="18" t="n">
        <f aca="false">B23+B24+B25+B26</f>
        <v>229217850</v>
      </c>
      <c r="C22" s="18" t="n">
        <f aca="false">C23+C24+C25+C26</f>
        <v>91095376</v>
      </c>
      <c r="D22" s="18" t="n">
        <f aca="false">D23+D24+D25+D26</f>
        <v>138122474</v>
      </c>
    </row>
    <row r="23" customFormat="false" ht="15.75" hidden="false" customHeight="true" outlineLevel="0" collapsed="false">
      <c r="A23" s="20" t="s">
        <v>26</v>
      </c>
      <c r="B23" s="26" t="n">
        <v>206504270</v>
      </c>
      <c r="C23" s="26" t="n">
        <v>91095376</v>
      </c>
      <c r="D23" s="27" t="n">
        <f aca="false">B23-C23</f>
        <v>115408894</v>
      </c>
    </row>
    <row r="24" customFormat="false" ht="15.75" hidden="false" customHeight="true" outlineLevel="0" collapsed="false">
      <c r="A24" s="20" t="s">
        <v>27</v>
      </c>
      <c r="B24" s="26" t="n">
        <v>3582159</v>
      </c>
      <c r="C24" s="26" t="n">
        <v>0</v>
      </c>
      <c r="D24" s="27" t="n">
        <f aca="false">B24-C24</f>
        <v>3582159</v>
      </c>
    </row>
    <row r="25" customFormat="false" ht="15.75" hidden="false" customHeight="true" outlineLevel="0" collapsed="false">
      <c r="A25" s="20" t="s">
        <v>28</v>
      </c>
      <c r="B25" s="26" t="n">
        <v>19131421</v>
      </c>
      <c r="C25" s="26" t="n">
        <v>0</v>
      </c>
      <c r="D25" s="27" t="n">
        <f aca="false">B25-C25</f>
        <v>19131421</v>
      </c>
    </row>
    <row r="26" customFormat="false" ht="15.75" hidden="false" customHeight="true" outlineLevel="0" collapsed="false">
      <c r="A26" s="25" t="s">
        <v>29</v>
      </c>
      <c r="B26" s="26" t="n">
        <v>0</v>
      </c>
      <c r="C26" s="26" t="n">
        <v>0</v>
      </c>
      <c r="D26" s="27" t="n">
        <f aca="false">B26-C26</f>
        <v>0</v>
      </c>
    </row>
    <row r="27" customFormat="false" ht="15.75" hidden="false" customHeight="true" outlineLevel="0" collapsed="false">
      <c r="A27" s="36" t="s">
        <v>30</v>
      </c>
      <c r="B27" s="42" t="n">
        <f aca="false">B29+B28</f>
        <v>59095935</v>
      </c>
      <c r="C27" s="42" t="n">
        <f aca="false">C29+C28</f>
        <v>0</v>
      </c>
      <c r="D27" s="43" t="n">
        <f aca="false">B27-C27</f>
        <v>59095935</v>
      </c>
    </row>
    <row r="28" customFormat="false" ht="18" hidden="false" customHeight="true" outlineLevel="0" collapsed="false">
      <c r="A28" s="44" t="s">
        <v>31</v>
      </c>
      <c r="B28" s="26"/>
      <c r="C28" s="26"/>
      <c r="D28" s="27"/>
    </row>
    <row r="29" customFormat="false" ht="15.75" hidden="false" customHeight="true" outlineLevel="0" collapsed="false">
      <c r="A29" s="28" t="s">
        <v>32</v>
      </c>
      <c r="B29" s="26" t="n">
        <v>59095935</v>
      </c>
      <c r="C29" s="26" t="n">
        <v>0</v>
      </c>
      <c r="D29" s="27" t="n">
        <f aca="false">B29-C29</f>
        <v>59095935</v>
      </c>
    </row>
    <row r="30" customFormat="false" ht="15.75" hidden="false" customHeight="true" outlineLevel="0" collapsed="false">
      <c r="A30" s="17" t="s">
        <v>33</v>
      </c>
      <c r="B30" s="33" t="n">
        <v>291187417</v>
      </c>
      <c r="C30" s="33" t="n">
        <f aca="false">C21+C22+C27</f>
        <v>91095376</v>
      </c>
      <c r="D30" s="19" t="n">
        <f aca="false">B30-C30</f>
        <v>200092041</v>
      </c>
    </row>
    <row r="31" customFormat="false" ht="15.75" hidden="false" customHeight="true" outlineLevel="0" collapsed="false">
      <c r="A31" s="17" t="s">
        <v>34</v>
      </c>
      <c r="B31" s="42" t="n">
        <v>380917042</v>
      </c>
      <c r="C31" s="42" t="n">
        <f aca="false">C19+C30</f>
        <v>131174967</v>
      </c>
      <c r="D31" s="43" t="n">
        <f aca="false">D19+D30</f>
        <v>249742073</v>
      </c>
    </row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3" bottom="0.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zeroHeight="false" outlineLevelRow="0" outlineLevelCol="0"/>
  <cols>
    <col collapsed="false" customWidth="true" hidden="false" outlineLevel="0" max="1" min="1" style="1" width="41.15"/>
    <col collapsed="false" customWidth="true" hidden="false" outlineLevel="0" max="2" min="2" style="1" width="21.57"/>
    <col collapsed="false" customWidth="true" hidden="false" outlineLevel="0" max="6" min="3" style="1" width="10.85"/>
    <col collapsed="false" customWidth="true" hidden="false" outlineLevel="0" max="26" min="7" style="1" width="8.71"/>
  </cols>
  <sheetData>
    <row r="1" customFormat="false" ht="15" hidden="false" customHeight="true" outlineLevel="0" collapsed="false">
      <c r="A1" s="2" t="s">
        <v>35</v>
      </c>
    </row>
    <row r="2" customFormat="false" ht="15" hidden="false" customHeight="true" outlineLevel="0" collapsed="false">
      <c r="B2" s="2" t="s">
        <v>2</v>
      </c>
    </row>
    <row r="3" customFormat="false" ht="15" hidden="false" customHeight="true" outlineLevel="0" collapsed="false">
      <c r="A3" s="45" t="s">
        <v>3</v>
      </c>
      <c r="B3" s="46" t="s">
        <v>36</v>
      </c>
    </row>
    <row r="4" customFormat="false" ht="15" hidden="false" customHeight="true" outlineLevel="0" collapsed="false">
      <c r="A4" s="47" t="s">
        <v>37</v>
      </c>
      <c r="B4" s="48"/>
    </row>
    <row r="5" customFormat="false" ht="15" hidden="false" customHeight="true" outlineLevel="0" collapsed="false">
      <c r="A5" s="49" t="s">
        <v>38</v>
      </c>
      <c r="B5" s="50" t="n">
        <v>24600000</v>
      </c>
    </row>
    <row r="6" customFormat="false" ht="15" hidden="false" customHeight="true" outlineLevel="0" collapsed="false">
      <c r="A6" s="49" t="s">
        <v>39</v>
      </c>
      <c r="B6" s="51"/>
    </row>
    <row r="7" customFormat="false" ht="15" hidden="false" customHeight="true" outlineLevel="0" collapsed="false">
      <c r="A7" s="49" t="s">
        <v>40</v>
      </c>
      <c r="B7" s="50"/>
    </row>
    <row r="8" customFormat="false" ht="15" hidden="false" customHeight="true" outlineLevel="0" collapsed="false">
      <c r="A8" s="49" t="s">
        <v>41</v>
      </c>
      <c r="B8" s="50" t="n">
        <v>27719907</v>
      </c>
    </row>
    <row r="9" customFormat="false" ht="15" hidden="false" customHeight="true" outlineLevel="0" collapsed="false">
      <c r="A9" s="49" t="s">
        <v>42</v>
      </c>
      <c r="B9" s="50"/>
    </row>
    <row r="10" customFormat="false" ht="15" hidden="false" customHeight="true" outlineLevel="0" collapsed="false">
      <c r="A10" s="49" t="s">
        <v>43</v>
      </c>
      <c r="B10" s="50"/>
    </row>
    <row r="11" customFormat="false" ht="15" hidden="false" customHeight="true" outlineLevel="0" collapsed="false">
      <c r="A11" s="49" t="s">
        <v>44</v>
      </c>
      <c r="B11" s="50" t="n">
        <f aca="false">TR!B34</f>
        <v>22780769</v>
      </c>
    </row>
    <row r="12" customFormat="false" ht="15" hidden="false" customHeight="true" outlineLevel="0" collapsed="false">
      <c r="A12" s="49" t="s">
        <v>45</v>
      </c>
      <c r="B12" s="50" t="n">
        <v>74826989</v>
      </c>
    </row>
    <row r="13" customFormat="false" ht="15" hidden="false" customHeight="true" outlineLevel="0" collapsed="false">
      <c r="A13" s="52" t="s">
        <v>46</v>
      </c>
      <c r="B13" s="53"/>
    </row>
    <row r="14" customFormat="false" ht="15" hidden="false" customHeight="true" outlineLevel="0" collapsed="false">
      <c r="A14" s="52" t="s">
        <v>47</v>
      </c>
      <c r="B14" s="54"/>
    </row>
    <row r="15" customFormat="false" ht="15" hidden="false" customHeight="true" outlineLevel="0" collapsed="false">
      <c r="A15" s="52" t="s">
        <v>48</v>
      </c>
      <c r="B15" s="54"/>
    </row>
    <row r="16" customFormat="false" ht="15" hidden="false" customHeight="true" outlineLevel="0" collapsed="false">
      <c r="A16" s="47" t="s">
        <v>49</v>
      </c>
      <c r="B16" s="19" t="n">
        <f aca="false">SUM(B5:B15)</f>
        <v>149927665</v>
      </c>
    </row>
    <row r="17" customFormat="false" ht="15" hidden="false" customHeight="true" outlineLevel="0" collapsed="false">
      <c r="A17" s="47" t="s">
        <v>50</v>
      </c>
      <c r="B17" s="55"/>
    </row>
    <row r="18" customFormat="false" ht="15" hidden="false" customHeight="true" outlineLevel="0" collapsed="false">
      <c r="A18" s="49" t="s">
        <v>51</v>
      </c>
      <c r="B18" s="50" t="n">
        <v>0</v>
      </c>
    </row>
    <row r="19" customFormat="false" ht="15" hidden="false" customHeight="true" outlineLevel="0" collapsed="false">
      <c r="A19" s="49" t="s">
        <v>52</v>
      </c>
      <c r="B19" s="50" t="n">
        <v>0</v>
      </c>
    </row>
    <row r="20" customFormat="false" ht="15" hidden="false" customHeight="true" outlineLevel="0" collapsed="false">
      <c r="A20" s="56" t="s">
        <v>53</v>
      </c>
      <c r="B20" s="50" t="n">
        <v>0</v>
      </c>
    </row>
    <row r="21" customFormat="false" ht="15.75" hidden="false" customHeight="true" outlineLevel="0" collapsed="false">
      <c r="A21" s="52" t="s">
        <v>54</v>
      </c>
      <c r="B21" s="50" t="n">
        <v>4085732</v>
      </c>
    </row>
    <row r="22" customFormat="false" ht="15.75" hidden="false" customHeight="true" outlineLevel="0" collapsed="false">
      <c r="A22" s="47" t="s">
        <v>55</v>
      </c>
      <c r="B22" s="19" t="n">
        <f aca="false">SUM(B18:B21)</f>
        <v>4085732</v>
      </c>
    </row>
    <row r="23" customFormat="false" ht="15.75" hidden="false" customHeight="true" outlineLevel="0" collapsed="false">
      <c r="A23" s="57" t="s">
        <v>56</v>
      </c>
      <c r="B23" s="58"/>
    </row>
    <row r="24" customFormat="false" ht="15.75" hidden="false" customHeight="true" outlineLevel="0" collapsed="false">
      <c r="A24" s="56" t="s">
        <v>57</v>
      </c>
      <c r="B24" s="50" t="n">
        <v>8741154</v>
      </c>
    </row>
    <row r="25" customFormat="false" ht="15.75" hidden="false" customHeight="true" outlineLevel="0" collapsed="false">
      <c r="A25" s="56" t="s">
        <v>58</v>
      </c>
      <c r="B25" s="50" t="n">
        <v>50109882</v>
      </c>
    </row>
    <row r="26" customFormat="false" ht="15.75" hidden="false" customHeight="true" outlineLevel="0" collapsed="false">
      <c r="A26" s="49" t="s">
        <v>59</v>
      </c>
      <c r="B26" s="50" t="n">
        <v>36877639</v>
      </c>
    </row>
    <row r="27" customFormat="false" ht="15.75" hidden="false" customHeight="true" outlineLevel="0" collapsed="false">
      <c r="A27" s="49" t="s">
        <v>60</v>
      </c>
      <c r="B27" s="50"/>
    </row>
    <row r="28" customFormat="false" ht="15.75" hidden="false" customHeight="true" outlineLevel="0" collapsed="false">
      <c r="A28" s="59" t="s">
        <v>61</v>
      </c>
      <c r="B28" s="42" t="n">
        <f aca="false">B24+B25+B26+B27</f>
        <v>95728675</v>
      </c>
    </row>
    <row r="29" customFormat="false" ht="15.75" hidden="false" customHeight="true" outlineLevel="0" collapsed="false">
      <c r="A29" s="60" t="s">
        <v>62</v>
      </c>
      <c r="B29" s="42" t="n">
        <f aca="false">B16+B22+B28</f>
        <v>249742072</v>
      </c>
    </row>
    <row r="30" customFormat="false" ht="15.75" hidden="false" customHeight="true" outlineLevel="0" collapsed="false">
      <c r="A30" s="1" t="s">
        <v>63</v>
      </c>
      <c r="B30" s="34"/>
    </row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>
      <c r="A33" s="34"/>
      <c r="B33" s="34" t="n">
        <f aca="false">B29-Bilan_financier!C38</f>
        <v>-131174968</v>
      </c>
    </row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4.2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3" bottom="0.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K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zeroHeight="false" outlineLevelRow="0" outlineLevelCol="0"/>
  <cols>
    <col collapsed="false" customWidth="true" hidden="false" outlineLevel="0" max="2" min="1" style="1" width="10.85"/>
    <col collapsed="false" customWidth="true" hidden="false" outlineLevel="0" max="3" min="3" style="1" width="11.29"/>
    <col collapsed="false" customWidth="true" hidden="false" outlineLevel="0" max="8" min="4" style="1" width="10.85"/>
    <col collapsed="false" customWidth="true" hidden="false" outlineLevel="0" max="9" min="9" style="1" width="13"/>
    <col collapsed="false" customWidth="true" hidden="false" outlineLevel="0" max="10" min="10" style="1" width="13.43"/>
    <col collapsed="false" customWidth="true" hidden="false" outlineLevel="0" max="11" min="11" style="1" width="10.85"/>
    <col collapsed="false" customWidth="true" hidden="false" outlineLevel="0" max="26" min="12" style="1" width="8.71"/>
  </cols>
  <sheetData>
    <row r="1" customFormat="false" ht="15" hidden="false" customHeight="true" outlineLevel="0" collapsed="false"/>
    <row r="2" customFormat="false" ht="15" hidden="false" customHeight="true" outlineLevel="0" collapsed="false"/>
    <row r="3" customFormat="false" ht="15" hidden="false" customHeight="true" outlineLevel="0" collapsed="false">
      <c r="B3" s="61" t="s">
        <v>64</v>
      </c>
      <c r="C3" s="61"/>
      <c r="D3" s="61"/>
      <c r="E3" s="61"/>
    </row>
    <row r="4" customFormat="false" ht="15" hidden="false" customHeight="true" outlineLevel="0" collapsed="false"/>
    <row r="5" customFormat="false" ht="15" hidden="false" customHeight="true" outlineLevel="0" collapsed="false"/>
    <row r="6" customFormat="false" ht="15" hidden="false" customHeight="true" outlineLevel="0" collapsed="false">
      <c r="B6" s="62" t="s">
        <v>65</v>
      </c>
      <c r="C6" s="62"/>
      <c r="D6" s="62" t="s">
        <v>66</v>
      </c>
      <c r="E6" s="62"/>
      <c r="F6" s="62"/>
      <c r="G6" s="62"/>
      <c r="H6" s="62"/>
      <c r="I6" s="62" t="s">
        <v>67</v>
      </c>
      <c r="J6" s="62"/>
    </row>
    <row r="7" customFormat="false" ht="15" hidden="false" customHeight="true" outlineLevel="0" collapsed="false">
      <c r="B7" s="62" t="s">
        <v>68</v>
      </c>
      <c r="C7" s="62" t="s">
        <v>69</v>
      </c>
      <c r="D7" s="62"/>
      <c r="E7" s="62"/>
      <c r="F7" s="62"/>
      <c r="G7" s="62"/>
      <c r="H7" s="62"/>
      <c r="I7" s="62" t="s">
        <v>68</v>
      </c>
      <c r="J7" s="63" t="s">
        <v>69</v>
      </c>
    </row>
    <row r="8" customFormat="false" ht="15" hidden="false" customHeight="true" outlineLevel="0" collapsed="false">
      <c r="B8" s="64" t="n">
        <v>28</v>
      </c>
      <c r="C8" s="65"/>
      <c r="D8" s="66" t="s">
        <v>70</v>
      </c>
      <c r="E8" s="66"/>
      <c r="F8" s="66"/>
      <c r="G8" s="66"/>
      <c r="H8" s="66"/>
      <c r="I8" s="67" t="n">
        <f aca="false">ACTIF!C6</f>
        <v>566800</v>
      </c>
      <c r="J8" s="68"/>
    </row>
    <row r="9" customFormat="false" ht="15" hidden="false" customHeight="true" outlineLevel="0" collapsed="false">
      <c r="B9" s="69"/>
      <c r="C9" s="70" t="n">
        <v>116</v>
      </c>
      <c r="D9" s="71" t="s">
        <v>70</v>
      </c>
      <c r="E9" s="71"/>
      <c r="F9" s="71"/>
      <c r="G9" s="71"/>
      <c r="H9" s="71"/>
      <c r="I9" s="72"/>
      <c r="J9" s="73" t="n">
        <f aca="false">ACTIF!C6</f>
        <v>566800</v>
      </c>
    </row>
    <row r="10" customFormat="false" ht="15" hidden="false" customHeight="true" outlineLevel="0" collapsed="false">
      <c r="B10" s="64" t="n">
        <v>28</v>
      </c>
      <c r="C10" s="65"/>
      <c r="D10" s="66" t="s">
        <v>71</v>
      </c>
      <c r="E10" s="66"/>
      <c r="F10" s="66"/>
      <c r="G10" s="66"/>
      <c r="H10" s="66"/>
      <c r="I10" s="67" t="n">
        <f aca="false">ACTIF!C7</f>
        <v>39512791</v>
      </c>
      <c r="J10" s="68"/>
    </row>
    <row r="11" customFormat="false" ht="15" hidden="false" customHeight="true" outlineLevel="0" collapsed="false">
      <c r="B11" s="69"/>
      <c r="C11" s="70" t="n">
        <v>116</v>
      </c>
      <c r="D11" s="71" t="s">
        <v>71</v>
      </c>
      <c r="E11" s="71"/>
      <c r="F11" s="71"/>
      <c r="G11" s="71"/>
      <c r="H11" s="71"/>
      <c r="I11" s="72"/>
      <c r="J11" s="73" t="n">
        <f aca="false">ACTIF!C7</f>
        <v>39512791</v>
      </c>
    </row>
    <row r="12" customFormat="false" ht="15" hidden="false" customHeight="true" outlineLevel="0" collapsed="false">
      <c r="B12" s="64" t="n">
        <v>48</v>
      </c>
      <c r="C12" s="65"/>
      <c r="D12" s="66" t="s">
        <v>72</v>
      </c>
      <c r="E12" s="66"/>
      <c r="F12" s="66"/>
      <c r="G12" s="66"/>
      <c r="H12" s="66"/>
      <c r="I12" s="67" t="n">
        <f aca="false">+ACTIF!C22</f>
        <v>91095376</v>
      </c>
      <c r="J12" s="68"/>
    </row>
    <row r="13" customFormat="false" ht="15" hidden="false" customHeight="true" outlineLevel="0" collapsed="false">
      <c r="B13" s="69"/>
      <c r="C13" s="70" t="n">
        <v>116</v>
      </c>
      <c r="D13" s="71" t="s">
        <v>72</v>
      </c>
      <c r="E13" s="71"/>
      <c r="F13" s="71"/>
      <c r="G13" s="71"/>
      <c r="H13" s="71"/>
      <c r="I13" s="74"/>
      <c r="J13" s="73" t="n">
        <f aca="false">+ACTIF!C22</f>
        <v>91095376</v>
      </c>
    </row>
    <row r="14" customFormat="false" ht="15" hidden="false" customHeight="true" outlineLevel="0" collapsed="false">
      <c r="B14" s="64" t="n">
        <v>39</v>
      </c>
      <c r="C14" s="65"/>
      <c r="D14" s="66" t="s">
        <v>73</v>
      </c>
      <c r="E14" s="66"/>
      <c r="F14" s="66"/>
      <c r="G14" s="66"/>
      <c r="H14" s="66"/>
      <c r="I14" s="75" t="n">
        <f aca="false">+ACTIF!C21</f>
        <v>0</v>
      </c>
      <c r="J14" s="76"/>
    </row>
    <row r="15" customFormat="false" ht="15" hidden="false" customHeight="true" outlineLevel="0" collapsed="false">
      <c r="B15" s="69"/>
      <c r="C15" s="70" t="n">
        <v>116</v>
      </c>
      <c r="D15" s="71" t="s">
        <v>74</v>
      </c>
      <c r="E15" s="71"/>
      <c r="F15" s="71"/>
      <c r="G15" s="71"/>
      <c r="H15" s="71"/>
      <c r="J15" s="77" t="n">
        <f aca="false">+ACTIF!C21</f>
        <v>0</v>
      </c>
    </row>
    <row r="16" customFormat="false" ht="15" hidden="false" customHeight="true" outlineLevel="0" collapsed="false">
      <c r="B16" s="78"/>
      <c r="C16" s="76"/>
      <c r="D16" s="79" t="s">
        <v>75</v>
      </c>
      <c r="E16" s="79"/>
      <c r="F16" s="79"/>
      <c r="G16" s="79"/>
      <c r="H16" s="79"/>
      <c r="I16" s="67" t="n">
        <f aca="false">ACTIF!C24+ACTIF!C25+ACTIF!C26</f>
        <v>0</v>
      </c>
      <c r="J16" s="68"/>
    </row>
    <row r="17" customFormat="false" ht="15" hidden="false" customHeight="true" outlineLevel="0" collapsed="false">
      <c r="B17" s="80"/>
      <c r="C17" s="72"/>
      <c r="D17" s="81" t="s">
        <v>75</v>
      </c>
      <c r="E17" s="81"/>
      <c r="F17" s="81"/>
      <c r="G17" s="81"/>
      <c r="H17" s="81"/>
      <c r="I17" s="72"/>
      <c r="J17" s="73" t="n">
        <f aca="false">+ACTIF!C24+ACTIF!C25+ACTIF!C26</f>
        <v>0</v>
      </c>
    </row>
    <row r="18" customFormat="false" ht="15" hidden="false" customHeight="true" outlineLevel="0" collapsed="false">
      <c r="B18" s="76"/>
      <c r="C18" s="76"/>
      <c r="D18" s="65"/>
      <c r="E18" s="65"/>
      <c r="F18" s="65"/>
      <c r="G18" s="65"/>
      <c r="H18" s="65"/>
      <c r="I18" s="76"/>
      <c r="J18" s="68"/>
    </row>
    <row r="19" customFormat="false" ht="15" hidden="false" customHeight="true" outlineLevel="0" collapsed="false">
      <c r="B19" s="72"/>
      <c r="C19" s="72"/>
      <c r="D19" s="70"/>
      <c r="E19" s="70"/>
      <c r="F19" s="70"/>
      <c r="G19" s="70"/>
      <c r="H19" s="70"/>
      <c r="I19" s="72"/>
      <c r="J19" s="82"/>
    </row>
    <row r="20" customFormat="false" ht="15" hidden="false" customHeight="true" outlineLevel="0" collapsed="false">
      <c r="B20" s="76"/>
      <c r="C20" s="76"/>
      <c r="D20" s="65"/>
      <c r="E20" s="65"/>
      <c r="F20" s="65"/>
      <c r="G20" s="65"/>
      <c r="H20" s="65"/>
      <c r="I20" s="76"/>
      <c r="J20" s="76"/>
    </row>
    <row r="21" customFormat="false" ht="15.75" hidden="false" customHeight="true" outlineLevel="0" collapsed="false">
      <c r="B21" s="72"/>
      <c r="C21" s="72"/>
      <c r="D21" s="70"/>
      <c r="E21" s="70"/>
      <c r="F21" s="70"/>
      <c r="G21" s="70"/>
      <c r="H21" s="70"/>
      <c r="I21" s="72"/>
      <c r="J21" s="72"/>
    </row>
    <row r="22" customFormat="false" ht="15.75" hidden="false" customHeight="true" outlineLevel="0" collapsed="false">
      <c r="B22" s="76"/>
      <c r="C22" s="76"/>
      <c r="D22" s="65"/>
      <c r="E22" s="65"/>
      <c r="F22" s="65"/>
      <c r="G22" s="65"/>
      <c r="H22" s="65"/>
      <c r="I22" s="76"/>
      <c r="J22" s="76"/>
    </row>
    <row r="23" customFormat="false" ht="15.75" hidden="false" customHeight="true" outlineLevel="0" collapsed="false">
      <c r="B23" s="72"/>
      <c r="C23" s="72"/>
      <c r="D23" s="70"/>
      <c r="E23" s="70"/>
      <c r="F23" s="70"/>
      <c r="G23" s="70"/>
      <c r="H23" s="70"/>
      <c r="I23" s="72"/>
      <c r="J23" s="72"/>
    </row>
    <row r="24" customFormat="false" ht="15.75" hidden="false" customHeight="true" outlineLevel="0" collapsed="false">
      <c r="B24" s="83" t="s">
        <v>76</v>
      </c>
      <c r="C24" s="83"/>
      <c r="D24" s="83"/>
      <c r="E24" s="83"/>
      <c r="F24" s="83"/>
      <c r="G24" s="83"/>
      <c r="H24" s="83"/>
      <c r="I24" s="84" t="n">
        <f aca="false">SUM(I8:I23)</f>
        <v>131174967</v>
      </c>
      <c r="J24" s="85" t="n">
        <f aca="false">SUM(J8:J23)</f>
        <v>131174967</v>
      </c>
    </row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>
      <c r="B27" s="61" t="s">
        <v>77</v>
      </c>
      <c r="C27" s="61"/>
      <c r="D27" s="61"/>
    </row>
    <row r="28" customFormat="false" ht="15.75" hidden="false" customHeight="true" outlineLevel="0" collapsed="false"/>
    <row r="29" customFormat="false" ht="15.75" hidden="false" customHeight="true" outlineLevel="0" collapsed="false">
      <c r="B29" s="83" t="s">
        <v>78</v>
      </c>
      <c r="C29" s="83"/>
      <c r="D29" s="83"/>
      <c r="E29" s="83"/>
      <c r="F29" s="83" t="s">
        <v>79</v>
      </c>
      <c r="G29" s="83"/>
      <c r="H29" s="83" t="s">
        <v>80</v>
      </c>
      <c r="I29" s="83"/>
      <c r="J29" s="83" t="s">
        <v>81</v>
      </c>
      <c r="K29" s="83"/>
    </row>
    <row r="30" customFormat="false" ht="15.75" hidden="false" customHeight="true" outlineLevel="0" collapsed="false">
      <c r="B30" s="86" t="s">
        <v>57</v>
      </c>
      <c r="C30" s="86"/>
      <c r="D30" s="86"/>
      <c r="E30" s="86"/>
      <c r="F30" s="87" t="n">
        <f aca="false">PASSIF!B24</f>
        <v>8741154</v>
      </c>
      <c r="G30" s="87"/>
      <c r="H30" s="87" t="n">
        <v>3541000</v>
      </c>
      <c r="I30" s="87"/>
      <c r="J30" s="87" t="n">
        <f aca="false">+F30-H30</f>
        <v>5200154</v>
      </c>
      <c r="K30" s="87"/>
    </row>
    <row r="31" customFormat="false" ht="15.75" hidden="false" customHeight="true" outlineLevel="0" collapsed="false">
      <c r="B31" s="52" t="s">
        <v>58</v>
      </c>
      <c r="C31" s="52"/>
      <c r="D31" s="52"/>
      <c r="E31" s="52"/>
      <c r="F31" s="88" t="n">
        <f aca="false">PASSIF!B25</f>
        <v>50109882</v>
      </c>
      <c r="G31" s="88"/>
      <c r="H31" s="88" t="n">
        <v>25000000</v>
      </c>
      <c r="I31" s="88"/>
      <c r="J31" s="88" t="n">
        <f aca="false">+F31-H31</f>
        <v>25109882</v>
      </c>
      <c r="K31" s="88"/>
    </row>
    <row r="32" customFormat="false" ht="15.75" hidden="false" customHeight="true" outlineLevel="0" collapsed="false">
      <c r="B32" s="49" t="s">
        <v>59</v>
      </c>
      <c r="C32" s="49"/>
      <c r="D32" s="49"/>
      <c r="E32" s="49"/>
      <c r="F32" s="89" t="n">
        <f aca="false">PASSIF!B26</f>
        <v>36877639</v>
      </c>
      <c r="G32" s="89"/>
      <c r="H32" s="89" t="n">
        <v>16500000</v>
      </c>
      <c r="I32" s="89"/>
      <c r="J32" s="90" t="n">
        <f aca="false">+F32-H32</f>
        <v>20377639</v>
      </c>
      <c r="K32" s="90"/>
    </row>
    <row r="33" customFormat="false" ht="15.75" hidden="false" customHeight="true" outlineLevel="0" collapsed="false">
      <c r="B33" s="83"/>
      <c r="C33" s="83"/>
      <c r="D33" s="83"/>
      <c r="E33" s="83"/>
      <c r="F33" s="91" t="n">
        <f aca="false">SUM(F30:F32)</f>
        <v>95728675</v>
      </c>
      <c r="G33" s="91"/>
      <c r="H33" s="91" t="n">
        <f aca="false">SUM(H30:H32)</f>
        <v>45041000</v>
      </c>
      <c r="I33" s="91"/>
      <c r="J33" s="91" t="n">
        <f aca="false">SUM(J30:J32)</f>
        <v>50687675</v>
      </c>
      <c r="K33" s="91"/>
    </row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42">
    <mergeCell ref="B3:E3"/>
    <mergeCell ref="B6:C6"/>
    <mergeCell ref="D6:H7"/>
    <mergeCell ref="I6:J6"/>
    <mergeCell ref="D8:H8"/>
    <mergeCell ref="D9:H9"/>
    <mergeCell ref="D10:H10"/>
    <mergeCell ref="D11:H11"/>
    <mergeCell ref="D12:H12"/>
    <mergeCell ref="D13:H13"/>
    <mergeCell ref="D14:H14"/>
    <mergeCell ref="D15:H15"/>
    <mergeCell ref="D16:H16"/>
    <mergeCell ref="D17:H17"/>
    <mergeCell ref="D18:H18"/>
    <mergeCell ref="D19:H19"/>
    <mergeCell ref="D20:H20"/>
    <mergeCell ref="D21:H21"/>
    <mergeCell ref="D22:H22"/>
    <mergeCell ref="D23:H23"/>
    <mergeCell ref="B24:H24"/>
    <mergeCell ref="B27:D27"/>
    <mergeCell ref="B29:E29"/>
    <mergeCell ref="F29:G29"/>
    <mergeCell ref="H29:I29"/>
    <mergeCell ref="J29:K29"/>
    <mergeCell ref="B30:E30"/>
    <mergeCell ref="F30:G30"/>
    <mergeCell ref="H30:I30"/>
    <mergeCell ref="J30:K30"/>
    <mergeCell ref="B31:E31"/>
    <mergeCell ref="F31:G31"/>
    <mergeCell ref="H31:I31"/>
    <mergeCell ref="J31:K31"/>
    <mergeCell ref="B32:E32"/>
    <mergeCell ref="F32:G32"/>
    <mergeCell ref="H32:I32"/>
    <mergeCell ref="J32:K32"/>
    <mergeCell ref="B33:E33"/>
    <mergeCell ref="F33:G33"/>
    <mergeCell ref="H33:I33"/>
    <mergeCell ref="J33:K33"/>
  </mergeCells>
  <printOptions headings="false" gridLines="false" gridLinesSet="true" horizontalCentered="false" verticalCentered="false"/>
  <pageMargins left="0.7" right="0.7" top="0.3" bottom="0.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zeroHeight="false" outlineLevelRow="0" outlineLevelCol="0"/>
  <cols>
    <col collapsed="false" customWidth="true" hidden="false" outlineLevel="0" max="1" min="1" style="1" width="8.57"/>
    <col collapsed="false" customWidth="true" hidden="false" outlineLevel="0" max="2" min="2" style="1" width="39.85"/>
    <col collapsed="false" customWidth="true" hidden="false" outlineLevel="0" max="3" min="3" style="1" width="16.29"/>
    <col collapsed="false" customWidth="true" hidden="false" outlineLevel="0" max="4" min="4" style="1" width="6.43"/>
    <col collapsed="false" customWidth="true" hidden="false" outlineLevel="0" max="5" min="5" style="1" width="13.57"/>
    <col collapsed="false" customWidth="true" hidden="false" outlineLevel="0" max="6" min="6" style="1" width="15.57"/>
    <col collapsed="false" customWidth="true" hidden="false" outlineLevel="0" max="7" min="7" style="1" width="7"/>
    <col collapsed="false" customWidth="true" hidden="false" outlineLevel="0" max="26" min="8" style="1" width="8.71"/>
  </cols>
  <sheetData>
    <row r="1" customFormat="false" ht="15" hidden="false" customHeight="true" outlineLevel="0" collapsed="false"/>
    <row r="2" customFormat="false" ht="19.5" hidden="false" customHeight="true" outlineLevel="0" collapsed="false">
      <c r="A2" s="92"/>
    </row>
    <row r="3" customFormat="false" ht="15" hidden="false" customHeight="true" outlineLevel="0" collapsed="false"/>
    <row r="4" customFormat="false" ht="15" hidden="false" customHeight="true" outlineLevel="0" collapsed="false">
      <c r="C4" s="93"/>
    </row>
    <row r="5" customFormat="false" ht="19.5" hidden="false" customHeight="true" outlineLevel="0" collapsed="false">
      <c r="B5" s="94" t="s">
        <v>82</v>
      </c>
      <c r="C5" s="94"/>
      <c r="F5" s="94"/>
      <c r="G5" s="94"/>
    </row>
    <row r="6" customFormat="false" ht="15" hidden="false" customHeight="true" outlineLevel="0" collapsed="false">
      <c r="C6" s="93"/>
      <c r="F6" s="95"/>
      <c r="G6" s="96"/>
    </row>
    <row r="7" customFormat="false" ht="15" hidden="false" customHeight="true" outlineLevel="0" collapsed="false">
      <c r="B7" s="97" t="s">
        <v>83</v>
      </c>
      <c r="C7" s="98" t="s">
        <v>84</v>
      </c>
      <c r="D7" s="97" t="s">
        <v>85</v>
      </c>
      <c r="F7" s="99"/>
      <c r="G7" s="100"/>
    </row>
    <row r="8" customFormat="false" ht="15" hidden="true" customHeight="true" outlineLevel="0" collapsed="false">
      <c r="C8" s="93"/>
      <c r="F8" s="101" t="s">
        <v>86</v>
      </c>
      <c r="G8" s="93" t="n">
        <f aca="false">PASSIF!B16+Journal_retraitement!J9+Journal_retraitement!J11+Journal_retraitement!J13+Journal_retraitement!J15+Journal_retraitement!J17</f>
        <v>281102632</v>
      </c>
    </row>
    <row r="9" customFormat="false" ht="15" hidden="true" customHeight="true" outlineLevel="0" collapsed="false">
      <c r="C9" s="93"/>
      <c r="F9" s="101" t="s">
        <v>38</v>
      </c>
      <c r="G9" s="93" t="n">
        <v>354480000</v>
      </c>
    </row>
    <row r="10" customFormat="false" ht="15" hidden="true" customHeight="true" outlineLevel="0" collapsed="false">
      <c r="B10" s="102" t="s">
        <v>7</v>
      </c>
      <c r="C10" s="93"/>
      <c r="F10" s="101" t="s">
        <v>39</v>
      </c>
      <c r="G10" s="93"/>
    </row>
    <row r="11" customFormat="false" ht="15" hidden="true" customHeight="true" outlineLevel="0" collapsed="false">
      <c r="B11" s="102" t="s">
        <v>87</v>
      </c>
      <c r="C11" s="93"/>
      <c r="F11" s="101" t="s">
        <v>88</v>
      </c>
      <c r="G11" s="93" t="n">
        <v>2575000</v>
      </c>
    </row>
    <row r="12" customFormat="false" ht="15" hidden="true" customHeight="true" outlineLevel="0" collapsed="false">
      <c r="B12" s="102" t="s">
        <v>9</v>
      </c>
      <c r="C12" s="93" t="n">
        <v>67810.35</v>
      </c>
      <c r="F12" s="101" t="s">
        <v>89</v>
      </c>
      <c r="G12" s="93"/>
    </row>
    <row r="13" customFormat="false" ht="15" hidden="true" customHeight="true" outlineLevel="0" collapsed="false">
      <c r="B13" s="102" t="s">
        <v>90</v>
      </c>
      <c r="C13" s="93"/>
      <c r="F13" s="101" t="s">
        <v>91</v>
      </c>
      <c r="G13" s="93"/>
    </row>
    <row r="14" customFormat="false" ht="15" hidden="true" customHeight="true" outlineLevel="0" collapsed="false">
      <c r="B14" s="1" t="s">
        <v>92</v>
      </c>
      <c r="C14" s="93"/>
      <c r="F14" s="101" t="s">
        <v>93</v>
      </c>
      <c r="G14" s="93" t="n">
        <v>-154344088.48</v>
      </c>
    </row>
    <row r="15" customFormat="false" ht="15" hidden="true" customHeight="true" outlineLevel="0" collapsed="false">
      <c r="B15" s="1" t="s">
        <v>94</v>
      </c>
      <c r="C15" s="93" t="n">
        <v>3232649.99</v>
      </c>
      <c r="F15" s="101" t="s">
        <v>95</v>
      </c>
      <c r="G15" s="93" t="n">
        <v>-438766747.21</v>
      </c>
    </row>
    <row r="16" customFormat="false" ht="15" hidden="true" customHeight="true" outlineLevel="0" collapsed="false">
      <c r="B16" s="1" t="s">
        <v>96</v>
      </c>
      <c r="C16" s="93" t="n">
        <v>11833190.49</v>
      </c>
      <c r="D16" s="93"/>
      <c r="F16" s="101" t="s">
        <v>97</v>
      </c>
      <c r="G16" s="93"/>
    </row>
    <row r="17" customFormat="false" ht="15" hidden="true" customHeight="true" outlineLevel="0" collapsed="false">
      <c r="B17" s="1" t="s">
        <v>98</v>
      </c>
      <c r="C17" s="93"/>
      <c r="F17" s="101" t="s">
        <v>99</v>
      </c>
      <c r="G17" s="93"/>
    </row>
    <row r="18" customFormat="false" ht="15" hidden="true" customHeight="true" outlineLevel="0" collapsed="false">
      <c r="B18" s="102" t="s">
        <v>100</v>
      </c>
      <c r="C18" s="93" t="n">
        <v>10591504.88</v>
      </c>
      <c r="F18" s="101" t="s">
        <v>101</v>
      </c>
      <c r="G18" s="103" t="n">
        <f aca="false">SUM(G9:G15)</f>
        <v>-236055835.69</v>
      </c>
    </row>
    <row r="19" customFormat="false" ht="15" hidden="true" customHeight="true" outlineLevel="0" collapsed="false">
      <c r="B19" s="102" t="s">
        <v>16</v>
      </c>
      <c r="C19" s="93"/>
      <c r="F19" s="101" t="s">
        <v>102</v>
      </c>
      <c r="G19" s="93" t="n">
        <f aca="false">PASSIF!B22+Journal_retraitement!J30+Journal_retraitement!J31+Journal_retraitement!J32</f>
        <v>54773407</v>
      </c>
    </row>
    <row r="20" customFormat="false" ht="15" hidden="true" customHeight="true" outlineLevel="0" collapsed="false">
      <c r="B20" s="1" t="s">
        <v>103</v>
      </c>
      <c r="C20" s="93"/>
      <c r="F20" s="101" t="s">
        <v>51</v>
      </c>
      <c r="G20" s="93" t="n">
        <v>9684114.82</v>
      </c>
    </row>
    <row r="21" customFormat="false" ht="15" hidden="true" customHeight="true" outlineLevel="0" collapsed="false">
      <c r="B21" s="1" t="s">
        <v>104</v>
      </c>
      <c r="C21" s="93"/>
      <c r="F21" s="101" t="s">
        <v>52</v>
      </c>
      <c r="G21" s="93"/>
    </row>
    <row r="22" customFormat="false" ht="15" hidden="true" customHeight="true" outlineLevel="0" collapsed="false">
      <c r="B22" s="1" t="s">
        <v>105</v>
      </c>
      <c r="C22" s="93"/>
      <c r="F22" s="101" t="s">
        <v>53</v>
      </c>
      <c r="G22" s="93"/>
    </row>
    <row r="23" customFormat="false" ht="15" hidden="true" customHeight="true" outlineLevel="0" collapsed="false">
      <c r="B23" s="1" t="s">
        <v>106</v>
      </c>
      <c r="C23" s="93" t="n">
        <v>21350000</v>
      </c>
      <c r="F23" s="101" t="s">
        <v>107</v>
      </c>
      <c r="G23" s="93" t="n">
        <v>40486561.25</v>
      </c>
    </row>
    <row r="24" customFormat="false" ht="15" hidden="true" customHeight="true" outlineLevel="0" collapsed="false">
      <c r="B24" s="1" t="s">
        <v>108</v>
      </c>
      <c r="C24" s="93" t="n">
        <v>4745165.24</v>
      </c>
      <c r="F24" s="101" t="s">
        <v>101</v>
      </c>
      <c r="G24" s="103" t="n">
        <f aca="false">SUM(G20:G23)</f>
        <v>50170676.07</v>
      </c>
    </row>
    <row r="25" customFormat="false" ht="15.75" hidden="false" customHeight="true" outlineLevel="0" collapsed="false">
      <c r="B25" s="101" t="s">
        <v>109</v>
      </c>
      <c r="C25" s="104" t="n">
        <f aca="false">+ACTIF!D19+Journal_retraitement!I8+Journal_retraitement!I10</f>
        <v>89729623</v>
      </c>
      <c r="D25" s="32" t="n">
        <f aca="false">C25/C38</f>
        <v>0.235562113472267</v>
      </c>
      <c r="F25" s="101"/>
      <c r="G25" s="93" t="n">
        <f aca="false">Journal_retraitement!H30+Journal_retraitement!H31+Journal_retraitement!H32</f>
        <v>45041000</v>
      </c>
    </row>
    <row r="26" customFormat="false" ht="15" hidden="true" customHeight="true" outlineLevel="0" collapsed="false">
      <c r="B26" s="101" t="s">
        <v>23</v>
      </c>
      <c r="C26" s="93"/>
      <c r="D26" s="32" t="n">
        <f aca="false">IFERROR(C26/C38,0)</f>
        <v>0</v>
      </c>
      <c r="F26" s="105" t="s">
        <v>57</v>
      </c>
      <c r="G26" s="93" t="n">
        <v>159608284.61</v>
      </c>
    </row>
    <row r="27" customFormat="false" ht="15" hidden="true" customHeight="true" outlineLevel="0" collapsed="false">
      <c r="B27" s="101" t="s">
        <v>24</v>
      </c>
      <c r="C27" s="93" t="n">
        <v>535581359.49</v>
      </c>
      <c r="D27" s="32" t="n">
        <f aca="false">IFERROR(C27/C38,0)</f>
        <v>1.40603150620408</v>
      </c>
      <c r="F27" s="105" t="s">
        <v>58</v>
      </c>
      <c r="G27" s="93" t="n">
        <v>12042382.74</v>
      </c>
    </row>
    <row r="28" customFormat="false" ht="15" hidden="true" customHeight="true" outlineLevel="0" collapsed="false">
      <c r="B28" s="101" t="s">
        <v>25</v>
      </c>
      <c r="C28" s="93"/>
      <c r="D28" s="32" t="n">
        <f aca="false">IFERROR(C28/C38,0)</f>
        <v>0</v>
      </c>
      <c r="F28" s="105" t="s">
        <v>59</v>
      </c>
      <c r="G28" s="93" t="n">
        <v>648970462.3</v>
      </c>
    </row>
    <row r="29" customFormat="false" ht="15" hidden="true" customHeight="true" outlineLevel="0" collapsed="false">
      <c r="B29" s="1" t="s">
        <v>110</v>
      </c>
      <c r="C29" s="93" t="n">
        <v>9387054.03</v>
      </c>
      <c r="D29" s="32" t="n">
        <f aca="false">IFERROR(C29/C38,0)</f>
        <v>0.0246433029879682</v>
      </c>
      <c r="F29" s="105" t="s">
        <v>60</v>
      </c>
      <c r="G29" s="93"/>
    </row>
    <row r="30" customFormat="false" ht="15" hidden="true" customHeight="true" outlineLevel="0" collapsed="false">
      <c r="B30" s="1" t="s">
        <v>111</v>
      </c>
      <c r="C30" s="93" t="n">
        <v>4172347.23</v>
      </c>
      <c r="D30" s="32" t="n">
        <f aca="false">IFERROR(C30/C38,0)</f>
        <v>0.0109534276282311</v>
      </c>
      <c r="F30" s="105" t="s">
        <v>101</v>
      </c>
      <c r="G30" s="106" t="n">
        <f aca="false">SUM(G26:G29)</f>
        <v>820621129.65</v>
      </c>
    </row>
    <row r="31" customFormat="false" ht="15" hidden="true" customHeight="true" outlineLevel="0" collapsed="false">
      <c r="B31" s="1" t="s">
        <v>112</v>
      </c>
      <c r="C31" s="93" t="n">
        <v>28906594.05</v>
      </c>
      <c r="D31" s="32" t="n">
        <f aca="false">C31/C44</f>
        <v>0.10283288293793</v>
      </c>
      <c r="F31" s="97" t="s">
        <v>113</v>
      </c>
      <c r="G31" s="106" t="n">
        <f aca="false">+G8+G19+G25</f>
        <v>380917039</v>
      </c>
    </row>
    <row r="32" customFormat="false" ht="15" hidden="true" customHeight="true" outlineLevel="0" collapsed="false">
      <c r="B32" s="1" t="s">
        <v>114</v>
      </c>
      <c r="C32" s="93"/>
      <c r="D32" s="32" t="n">
        <f aca="false">C32/C45</f>
        <v>0</v>
      </c>
    </row>
    <row r="33" customFormat="false" ht="15" hidden="true" customHeight="true" outlineLevel="0" collapsed="false">
      <c r="B33" s="101" t="s">
        <v>30</v>
      </c>
      <c r="C33" s="93"/>
      <c r="D33" s="32" t="n">
        <f aca="false">IFERROR(C33/C38,0)</f>
        <v>0</v>
      </c>
    </row>
    <row r="34" customFormat="false" ht="15" hidden="true" customHeight="true" outlineLevel="0" collapsed="false">
      <c r="B34" s="1" t="s">
        <v>115</v>
      </c>
      <c r="C34" s="93"/>
      <c r="D34" s="32" t="n">
        <f aca="false">C34/C47</f>
        <v>0</v>
      </c>
    </row>
    <row r="35" customFormat="false" ht="15.75" hidden="true" customHeight="true" outlineLevel="0" collapsed="false">
      <c r="B35" s="1" t="s">
        <v>116</v>
      </c>
      <c r="C35" s="93" t="n">
        <v>4868294.28</v>
      </c>
      <c r="D35" s="32" t="n">
        <f aca="false">IFERROR(C35/C38,0)</f>
        <v>0.0127804581281005</v>
      </c>
    </row>
    <row r="36" customFormat="false" ht="15.75" hidden="false" customHeight="true" outlineLevel="0" collapsed="false">
      <c r="B36" s="101" t="s">
        <v>117</v>
      </c>
      <c r="C36" s="104" t="n">
        <f aca="false">+ACTIF!D30+Journal_retraitement!I12-ACTIF!D29</f>
        <v>232091482</v>
      </c>
      <c r="D36" s="32" t="n">
        <f aca="false">C36/C38</f>
        <v>0.609296664701584</v>
      </c>
    </row>
    <row r="37" customFormat="false" ht="15.75" hidden="false" customHeight="true" outlineLevel="0" collapsed="false">
      <c r="B37" s="101" t="s">
        <v>118</v>
      </c>
      <c r="C37" s="104" t="n">
        <f aca="false">+ACTIF!D29</f>
        <v>59095935</v>
      </c>
      <c r="D37" s="32" t="n">
        <f aca="false">C37/C38</f>
        <v>0.155141221826149</v>
      </c>
    </row>
    <row r="38" customFormat="false" ht="15.75" hidden="false" customHeight="true" outlineLevel="0" collapsed="false">
      <c r="B38" s="97" t="s">
        <v>119</v>
      </c>
      <c r="C38" s="107" t="n">
        <f aca="false">C36+C25+C37</f>
        <v>380917040</v>
      </c>
      <c r="D38" s="108" t="n">
        <f aca="false">+D25+D36+D37</f>
        <v>1</v>
      </c>
      <c r="F38" s="34"/>
    </row>
    <row r="39" customFormat="false" ht="15.75" hidden="false" customHeight="true" outlineLevel="0" collapsed="false">
      <c r="B39" s="109"/>
      <c r="C39" s="110"/>
      <c r="F39" s="34"/>
    </row>
    <row r="40" customFormat="false" ht="15.75" hidden="false" customHeight="true" outlineLevel="0" collapsed="false">
      <c r="C40" s="93"/>
      <c r="F40" s="34"/>
    </row>
    <row r="41" customFormat="false" ht="15.75" hidden="false" customHeight="true" outlineLevel="0" collapsed="false">
      <c r="B41" s="94" t="s">
        <v>120</v>
      </c>
      <c r="C41" s="94"/>
      <c r="F41" s="32"/>
    </row>
    <row r="42" customFormat="false" ht="15.75" hidden="false" customHeight="true" outlineLevel="0" collapsed="false">
      <c r="B42" s="95"/>
      <c r="C42" s="96"/>
    </row>
    <row r="43" customFormat="false" ht="15.75" hidden="false" customHeight="true" outlineLevel="0" collapsed="false">
      <c r="B43" s="97" t="s">
        <v>83</v>
      </c>
      <c r="C43" s="111" t="s">
        <v>84</v>
      </c>
    </row>
    <row r="44" customFormat="false" ht="15" hidden="false" customHeight="true" outlineLevel="0" collapsed="false">
      <c r="B44" s="101" t="s">
        <v>86</v>
      </c>
      <c r="C44" s="93" t="n">
        <f aca="false">+PASSIF!B16+Journal_retraitement!J9+Journal_retraitement!J11+Journal_retraitement!J13+Journal_retraitement!J15+Journal_retraitement!J17</f>
        <v>281102632</v>
      </c>
      <c r="D44" s="112" t="n">
        <f aca="false">+C44/C67</f>
        <v>0.737962871752765</v>
      </c>
      <c r="E44" s="113" t="s">
        <v>121</v>
      </c>
      <c r="F44" s="114" t="n">
        <f aca="false">+C44+C55</f>
        <v>335876039</v>
      </c>
      <c r="G44" s="115" t="n">
        <f aca="false">+F44/C67</f>
        <v>0.881756405231324</v>
      </c>
    </row>
    <row r="45" customFormat="false" ht="15" hidden="true" customHeight="true" outlineLevel="0" collapsed="false">
      <c r="B45" s="101" t="s">
        <v>38</v>
      </c>
      <c r="C45" s="93" t="n">
        <v>354480000</v>
      </c>
      <c r="D45" s="112"/>
      <c r="E45" s="113"/>
      <c r="F45" s="113"/>
      <c r="G45" s="113"/>
    </row>
    <row r="46" customFormat="false" ht="15" hidden="true" customHeight="true" outlineLevel="0" collapsed="false">
      <c r="B46" s="101" t="s">
        <v>39</v>
      </c>
      <c r="C46" s="93"/>
      <c r="D46" s="112"/>
      <c r="E46" s="113"/>
      <c r="F46" s="113"/>
      <c r="G46" s="113"/>
    </row>
    <row r="47" customFormat="false" ht="15" hidden="true" customHeight="true" outlineLevel="0" collapsed="false">
      <c r="B47" s="101" t="s">
        <v>88</v>
      </c>
      <c r="C47" s="93" t="n">
        <v>2575000</v>
      </c>
      <c r="D47" s="112"/>
      <c r="E47" s="113"/>
      <c r="F47" s="113"/>
      <c r="G47" s="113"/>
    </row>
    <row r="48" customFormat="false" ht="15" hidden="true" customHeight="true" outlineLevel="0" collapsed="false">
      <c r="B48" s="101" t="s">
        <v>89</v>
      </c>
      <c r="C48" s="93"/>
      <c r="D48" s="112"/>
      <c r="E48" s="113"/>
      <c r="F48" s="113"/>
      <c r="G48" s="113"/>
    </row>
    <row r="49" customFormat="false" ht="15" hidden="true" customHeight="true" outlineLevel="0" collapsed="false">
      <c r="B49" s="101" t="s">
        <v>91</v>
      </c>
      <c r="C49" s="93"/>
      <c r="D49" s="112"/>
      <c r="E49" s="113"/>
      <c r="F49" s="113"/>
      <c r="G49" s="113"/>
    </row>
    <row r="50" customFormat="false" ht="15" hidden="true" customHeight="true" outlineLevel="0" collapsed="false">
      <c r="B50" s="101" t="s">
        <v>93</v>
      </c>
      <c r="C50" s="93" t="n">
        <v>-154344088.48</v>
      </c>
      <c r="D50" s="112"/>
      <c r="E50" s="113"/>
      <c r="F50" s="113"/>
      <c r="G50" s="113"/>
    </row>
    <row r="51" customFormat="false" ht="15" hidden="true" customHeight="true" outlineLevel="0" collapsed="false">
      <c r="B51" s="101" t="s">
        <v>95</v>
      </c>
      <c r="C51" s="93" t="n">
        <v>-438766747.21</v>
      </c>
      <c r="D51" s="112"/>
      <c r="E51" s="113"/>
      <c r="F51" s="113"/>
      <c r="G51" s="113"/>
    </row>
    <row r="52" customFormat="false" ht="15" hidden="true" customHeight="true" outlineLevel="0" collapsed="false">
      <c r="B52" s="101" t="s">
        <v>97</v>
      </c>
      <c r="C52" s="93"/>
      <c r="D52" s="112"/>
      <c r="E52" s="113"/>
      <c r="F52" s="113"/>
      <c r="G52" s="113"/>
    </row>
    <row r="53" customFormat="false" ht="15" hidden="true" customHeight="true" outlineLevel="0" collapsed="false">
      <c r="B53" s="101" t="s">
        <v>99</v>
      </c>
      <c r="C53" s="93"/>
      <c r="D53" s="112"/>
      <c r="E53" s="113"/>
      <c r="F53" s="113"/>
      <c r="G53" s="113"/>
    </row>
    <row r="54" customFormat="false" ht="15" hidden="true" customHeight="true" outlineLevel="0" collapsed="false">
      <c r="B54" s="101" t="s">
        <v>101</v>
      </c>
      <c r="C54" s="103" t="n">
        <f aca="false">SUM(C45:C51)</f>
        <v>-236055835.69</v>
      </c>
      <c r="D54" s="112"/>
      <c r="E54" s="113"/>
      <c r="F54" s="113"/>
      <c r="G54" s="113"/>
    </row>
    <row r="55" customFormat="false" ht="15.75" hidden="false" customHeight="true" outlineLevel="0" collapsed="false">
      <c r="B55" s="101" t="s">
        <v>102</v>
      </c>
      <c r="C55" s="93" t="n">
        <f aca="false">+PASSIF!B22+Journal_retraitement!J30+Journal_retraitement!J31+Journal_retraitement!J32</f>
        <v>54773407</v>
      </c>
      <c r="D55" s="112" t="n">
        <f aca="false">+C55/C67</f>
        <v>0.143793533478559</v>
      </c>
      <c r="E55" s="113"/>
      <c r="F55" s="113"/>
      <c r="G55" s="113"/>
    </row>
    <row r="56" customFormat="false" ht="15.75" hidden="true" customHeight="true" outlineLevel="0" collapsed="false">
      <c r="B56" s="101" t="s">
        <v>51</v>
      </c>
      <c r="C56" s="93" t="n">
        <v>9684114.82</v>
      </c>
      <c r="D56" s="116"/>
    </row>
    <row r="57" customFormat="false" ht="15.75" hidden="true" customHeight="true" outlineLevel="0" collapsed="false">
      <c r="B57" s="101" t="s">
        <v>52</v>
      </c>
      <c r="C57" s="93"/>
      <c r="D57" s="116"/>
    </row>
    <row r="58" customFormat="false" ht="15.75" hidden="true" customHeight="true" outlineLevel="0" collapsed="false">
      <c r="B58" s="101" t="s">
        <v>53</v>
      </c>
      <c r="C58" s="93"/>
      <c r="D58" s="116"/>
    </row>
    <row r="59" customFormat="false" ht="15.75" hidden="true" customHeight="true" outlineLevel="0" collapsed="false">
      <c r="B59" s="101" t="s">
        <v>107</v>
      </c>
      <c r="C59" s="93" t="n">
        <v>40486561.25</v>
      </c>
      <c r="D59" s="116"/>
    </row>
    <row r="60" customFormat="false" ht="15.75" hidden="true" customHeight="true" outlineLevel="0" collapsed="false">
      <c r="B60" s="101" t="s">
        <v>101</v>
      </c>
      <c r="C60" s="103" t="n">
        <f aca="false">SUM(C56:C59)</f>
        <v>50170676.07</v>
      </c>
      <c r="D60" s="116"/>
    </row>
    <row r="61" customFormat="false" ht="15.75" hidden="false" customHeight="true" outlineLevel="0" collapsed="false">
      <c r="B61" s="101" t="s">
        <v>122</v>
      </c>
      <c r="C61" s="93" t="n">
        <f aca="false">Journal_retraitement!H30+Journal_retraitement!H31+Journal_retraitement!H32</f>
        <v>45041000</v>
      </c>
      <c r="D61" s="116" t="n">
        <f aca="false">+C61/C67</f>
        <v>0.118243594768676</v>
      </c>
    </row>
    <row r="62" customFormat="false" ht="15.75" hidden="true" customHeight="true" outlineLevel="0" collapsed="false">
      <c r="B62" s="105" t="s">
        <v>57</v>
      </c>
      <c r="C62" s="93" t="n">
        <v>159608284.61</v>
      </c>
      <c r="D62" s="101"/>
    </row>
    <row r="63" customFormat="false" ht="15.75" hidden="true" customHeight="true" outlineLevel="0" collapsed="false">
      <c r="B63" s="105" t="s">
        <v>58</v>
      </c>
      <c r="C63" s="93" t="n">
        <v>12042382.74</v>
      </c>
      <c r="D63" s="101"/>
    </row>
    <row r="64" customFormat="false" ht="15.75" hidden="true" customHeight="true" outlineLevel="0" collapsed="false">
      <c r="B64" s="105" t="s">
        <v>59</v>
      </c>
      <c r="C64" s="93" t="n">
        <v>648970462.3</v>
      </c>
      <c r="D64" s="101"/>
    </row>
    <row r="65" customFormat="false" ht="15.75" hidden="true" customHeight="true" outlineLevel="0" collapsed="false">
      <c r="B65" s="105" t="s">
        <v>60</v>
      </c>
      <c r="C65" s="93"/>
      <c r="D65" s="101"/>
    </row>
    <row r="66" customFormat="false" ht="15.75" hidden="true" customHeight="true" outlineLevel="0" collapsed="false">
      <c r="B66" s="105" t="s">
        <v>101</v>
      </c>
      <c r="C66" s="106" t="n">
        <f aca="false">SUM(C62:C65)</f>
        <v>820621129.65</v>
      </c>
      <c r="D66" s="101"/>
    </row>
    <row r="67" customFormat="false" ht="15.75" hidden="false" customHeight="true" outlineLevel="0" collapsed="false">
      <c r="B67" s="97" t="s">
        <v>113</v>
      </c>
      <c r="C67" s="106" t="n">
        <f aca="false">+C44+C55+C61</f>
        <v>380917039</v>
      </c>
      <c r="D67" s="116" t="n">
        <f aca="false">SUM(D44:D66)</f>
        <v>1</v>
      </c>
    </row>
    <row r="68" customFormat="false" ht="15.75" hidden="false" customHeight="true" outlineLevel="0" collapsed="false">
      <c r="C68" s="93"/>
    </row>
    <row r="69" customFormat="false" ht="15.75" hidden="false" customHeight="true" outlineLevel="0" collapsed="false">
      <c r="C69" s="93"/>
    </row>
    <row r="70" customFormat="false" ht="15.75" hidden="false" customHeight="true" outlineLevel="0" collapsed="false">
      <c r="C70" s="93"/>
    </row>
    <row r="71" customFormat="false" ht="15.75" hidden="false" customHeight="true" outlineLevel="0" collapsed="false">
      <c r="C71" s="93"/>
    </row>
    <row r="72" customFormat="false" ht="15.75" hidden="false" customHeight="true" outlineLevel="0" collapsed="false">
      <c r="C72" s="93"/>
    </row>
    <row r="73" customFormat="false" ht="15.75" hidden="false" customHeight="true" outlineLevel="0" collapsed="false">
      <c r="C73" s="93"/>
    </row>
    <row r="74" customFormat="false" ht="15.75" hidden="false" customHeight="true" outlineLevel="0" collapsed="false">
      <c r="C74" s="93"/>
    </row>
    <row r="75" customFormat="false" ht="15.75" hidden="false" customHeight="true" outlineLevel="0" collapsed="false">
      <c r="C75" s="93"/>
    </row>
    <row r="76" customFormat="false" ht="15.75" hidden="false" customHeight="true" outlineLevel="0" collapsed="false">
      <c r="C76" s="93"/>
    </row>
    <row r="77" customFormat="false" ht="15.75" hidden="false" customHeight="true" outlineLevel="0" collapsed="false">
      <c r="C77" s="93"/>
    </row>
    <row r="78" customFormat="false" ht="15.75" hidden="false" customHeight="true" outlineLevel="0" collapsed="false">
      <c r="C78" s="93"/>
    </row>
    <row r="79" customFormat="false" ht="15.75" hidden="false" customHeight="true" outlineLevel="0" collapsed="false">
      <c r="C79" s="93"/>
    </row>
    <row r="80" customFormat="false" ht="15.75" hidden="false" customHeight="true" outlineLevel="0" collapsed="false">
      <c r="C80" s="93"/>
    </row>
    <row r="81" customFormat="false" ht="15.75" hidden="false" customHeight="true" outlineLevel="0" collapsed="false">
      <c r="C81" s="93"/>
    </row>
    <row r="82" customFormat="false" ht="15.75" hidden="false" customHeight="true" outlineLevel="0" collapsed="false">
      <c r="C82" s="93"/>
    </row>
    <row r="83" customFormat="false" ht="15.75" hidden="false" customHeight="true" outlineLevel="0" collapsed="false">
      <c r="C83" s="93"/>
    </row>
    <row r="84" customFormat="false" ht="15.75" hidden="false" customHeight="true" outlineLevel="0" collapsed="false">
      <c r="C84" s="93"/>
    </row>
    <row r="85" customFormat="false" ht="15.75" hidden="false" customHeight="true" outlineLevel="0" collapsed="false">
      <c r="C85" s="93"/>
    </row>
    <row r="86" customFormat="false" ht="15.75" hidden="false" customHeight="true" outlineLevel="0" collapsed="false">
      <c r="C86" s="93"/>
    </row>
    <row r="87" customFormat="false" ht="15.75" hidden="false" customHeight="true" outlineLevel="0" collapsed="false">
      <c r="C87" s="93"/>
    </row>
    <row r="88" customFormat="false" ht="15.75" hidden="false" customHeight="true" outlineLevel="0" collapsed="false">
      <c r="C88" s="93"/>
    </row>
    <row r="89" customFormat="false" ht="15.75" hidden="false" customHeight="true" outlineLevel="0" collapsed="false">
      <c r="C89" s="93"/>
    </row>
    <row r="90" customFormat="false" ht="15.75" hidden="false" customHeight="true" outlineLevel="0" collapsed="false">
      <c r="C90" s="93"/>
    </row>
    <row r="91" customFormat="false" ht="15.75" hidden="false" customHeight="true" outlineLevel="0" collapsed="false">
      <c r="C91" s="93"/>
    </row>
    <row r="92" customFormat="false" ht="15.75" hidden="false" customHeight="true" outlineLevel="0" collapsed="false">
      <c r="C92" s="93"/>
    </row>
    <row r="93" customFormat="false" ht="15.75" hidden="false" customHeight="true" outlineLevel="0" collapsed="false">
      <c r="C93" s="93"/>
    </row>
    <row r="94" customFormat="false" ht="15.75" hidden="false" customHeight="true" outlineLevel="0" collapsed="false">
      <c r="C94" s="93"/>
    </row>
    <row r="95" customFormat="false" ht="15.75" hidden="false" customHeight="true" outlineLevel="0" collapsed="false">
      <c r="C95" s="93"/>
    </row>
    <row r="96" customFormat="false" ht="15.75" hidden="false" customHeight="true" outlineLevel="0" collapsed="false">
      <c r="C96" s="93"/>
    </row>
    <row r="97" customFormat="false" ht="15.75" hidden="false" customHeight="true" outlineLevel="0" collapsed="false">
      <c r="C97" s="93"/>
    </row>
    <row r="98" customFormat="false" ht="15.75" hidden="false" customHeight="true" outlineLevel="0" collapsed="false">
      <c r="C98" s="93"/>
    </row>
    <row r="99" customFormat="false" ht="15.75" hidden="false" customHeight="true" outlineLevel="0" collapsed="false">
      <c r="C99" s="93"/>
    </row>
    <row r="100" customFormat="false" ht="15.75" hidden="false" customHeight="true" outlineLevel="0" collapsed="false">
      <c r="C100" s="93"/>
    </row>
    <row r="101" customFormat="false" ht="15.75" hidden="false" customHeight="true" outlineLevel="0" collapsed="false">
      <c r="C101" s="93"/>
    </row>
    <row r="102" customFormat="false" ht="15.75" hidden="false" customHeight="true" outlineLevel="0" collapsed="false">
      <c r="C102" s="93"/>
    </row>
    <row r="103" customFormat="false" ht="15.75" hidden="false" customHeight="true" outlineLevel="0" collapsed="false">
      <c r="C103" s="93"/>
    </row>
    <row r="104" customFormat="false" ht="15.75" hidden="false" customHeight="true" outlineLevel="0" collapsed="false">
      <c r="C104" s="93"/>
    </row>
    <row r="105" customFormat="false" ht="15.75" hidden="false" customHeight="true" outlineLevel="0" collapsed="false">
      <c r="C105" s="93"/>
    </row>
    <row r="106" customFormat="false" ht="15.75" hidden="false" customHeight="true" outlineLevel="0" collapsed="false">
      <c r="C106" s="93"/>
    </row>
    <row r="107" customFormat="false" ht="15.75" hidden="false" customHeight="true" outlineLevel="0" collapsed="false">
      <c r="C107" s="93"/>
    </row>
    <row r="108" customFormat="false" ht="15.75" hidden="false" customHeight="true" outlineLevel="0" collapsed="false">
      <c r="C108" s="93"/>
    </row>
    <row r="109" customFormat="false" ht="15.75" hidden="false" customHeight="true" outlineLevel="0" collapsed="false">
      <c r="C109" s="93"/>
    </row>
    <row r="110" customFormat="false" ht="15.75" hidden="false" customHeight="true" outlineLevel="0" collapsed="false">
      <c r="C110" s="93"/>
    </row>
    <row r="111" customFormat="false" ht="15.75" hidden="false" customHeight="true" outlineLevel="0" collapsed="false">
      <c r="C111" s="93"/>
    </row>
    <row r="112" customFormat="false" ht="15.75" hidden="false" customHeight="true" outlineLevel="0" collapsed="false">
      <c r="C112" s="93"/>
    </row>
    <row r="113" customFormat="false" ht="15.75" hidden="false" customHeight="true" outlineLevel="0" collapsed="false">
      <c r="C113" s="93"/>
    </row>
    <row r="114" customFormat="false" ht="15.75" hidden="false" customHeight="true" outlineLevel="0" collapsed="false">
      <c r="C114" s="93"/>
    </row>
    <row r="115" customFormat="false" ht="15.75" hidden="false" customHeight="true" outlineLevel="0" collapsed="false">
      <c r="C115" s="93"/>
    </row>
    <row r="116" customFormat="false" ht="15.75" hidden="false" customHeight="true" outlineLevel="0" collapsed="false">
      <c r="C116" s="93"/>
    </row>
    <row r="117" customFormat="false" ht="15.75" hidden="false" customHeight="true" outlineLevel="0" collapsed="false">
      <c r="C117" s="93"/>
    </row>
    <row r="118" customFormat="false" ht="15.75" hidden="false" customHeight="true" outlineLevel="0" collapsed="false">
      <c r="C118" s="93"/>
    </row>
    <row r="119" customFormat="false" ht="15.75" hidden="false" customHeight="true" outlineLevel="0" collapsed="false">
      <c r="C119" s="93"/>
    </row>
    <row r="120" customFormat="false" ht="15.75" hidden="false" customHeight="true" outlineLevel="0" collapsed="false">
      <c r="C120" s="93"/>
    </row>
    <row r="121" customFormat="false" ht="15.75" hidden="false" customHeight="true" outlineLevel="0" collapsed="false">
      <c r="C121" s="93"/>
    </row>
    <row r="122" customFormat="false" ht="15.75" hidden="false" customHeight="true" outlineLevel="0" collapsed="false">
      <c r="C122" s="93"/>
    </row>
    <row r="123" customFormat="false" ht="15.75" hidden="false" customHeight="true" outlineLevel="0" collapsed="false">
      <c r="C123" s="93"/>
    </row>
    <row r="124" customFormat="false" ht="15.75" hidden="false" customHeight="true" outlineLevel="0" collapsed="false">
      <c r="C124" s="93"/>
    </row>
    <row r="125" customFormat="false" ht="15.75" hidden="false" customHeight="true" outlineLevel="0" collapsed="false">
      <c r="C125" s="93"/>
    </row>
    <row r="126" customFormat="false" ht="15.75" hidden="false" customHeight="true" outlineLevel="0" collapsed="false">
      <c r="C126" s="93"/>
    </row>
    <row r="127" customFormat="false" ht="15.75" hidden="false" customHeight="true" outlineLevel="0" collapsed="false">
      <c r="C127" s="93"/>
    </row>
    <row r="128" customFormat="false" ht="15.75" hidden="false" customHeight="true" outlineLevel="0" collapsed="false">
      <c r="C128" s="93"/>
    </row>
    <row r="129" customFormat="false" ht="15.75" hidden="false" customHeight="true" outlineLevel="0" collapsed="false">
      <c r="C129" s="93"/>
    </row>
    <row r="130" customFormat="false" ht="15.75" hidden="false" customHeight="true" outlineLevel="0" collapsed="false">
      <c r="C130" s="93"/>
    </row>
    <row r="131" customFormat="false" ht="15.75" hidden="false" customHeight="true" outlineLevel="0" collapsed="false">
      <c r="C131" s="93"/>
    </row>
    <row r="132" customFormat="false" ht="15.75" hidden="false" customHeight="true" outlineLevel="0" collapsed="false">
      <c r="C132" s="93"/>
    </row>
    <row r="133" customFormat="false" ht="15.75" hidden="false" customHeight="true" outlineLevel="0" collapsed="false">
      <c r="C133" s="93"/>
    </row>
    <row r="134" customFormat="false" ht="15.75" hidden="false" customHeight="true" outlineLevel="0" collapsed="false">
      <c r="C134" s="93"/>
    </row>
    <row r="135" customFormat="false" ht="15.75" hidden="false" customHeight="true" outlineLevel="0" collapsed="false">
      <c r="C135" s="93"/>
    </row>
    <row r="136" customFormat="false" ht="15.75" hidden="false" customHeight="true" outlineLevel="0" collapsed="false">
      <c r="C136" s="93"/>
    </row>
    <row r="137" customFormat="false" ht="15.75" hidden="false" customHeight="true" outlineLevel="0" collapsed="false">
      <c r="C137" s="93"/>
    </row>
    <row r="138" customFormat="false" ht="15.75" hidden="false" customHeight="true" outlineLevel="0" collapsed="false">
      <c r="C138" s="93"/>
    </row>
    <row r="139" customFormat="false" ht="15.75" hidden="false" customHeight="true" outlineLevel="0" collapsed="false">
      <c r="C139" s="93"/>
    </row>
    <row r="140" customFormat="false" ht="15.75" hidden="false" customHeight="true" outlineLevel="0" collapsed="false">
      <c r="C140" s="93"/>
    </row>
    <row r="141" customFormat="false" ht="15.75" hidden="false" customHeight="true" outlineLevel="0" collapsed="false">
      <c r="C141" s="93"/>
    </row>
    <row r="142" customFormat="false" ht="15.75" hidden="false" customHeight="true" outlineLevel="0" collapsed="false">
      <c r="C142" s="93"/>
    </row>
    <row r="143" customFormat="false" ht="15.75" hidden="false" customHeight="true" outlineLevel="0" collapsed="false">
      <c r="C143" s="93"/>
    </row>
    <row r="144" customFormat="false" ht="15.75" hidden="false" customHeight="true" outlineLevel="0" collapsed="false">
      <c r="C144" s="93"/>
    </row>
    <row r="145" customFormat="false" ht="15.75" hidden="false" customHeight="true" outlineLevel="0" collapsed="false">
      <c r="C145" s="93"/>
    </row>
    <row r="146" customFormat="false" ht="15.75" hidden="false" customHeight="true" outlineLevel="0" collapsed="false">
      <c r="C146" s="93"/>
    </row>
    <row r="147" customFormat="false" ht="15.75" hidden="false" customHeight="true" outlineLevel="0" collapsed="false">
      <c r="C147" s="93"/>
    </row>
    <row r="148" customFormat="false" ht="15.75" hidden="false" customHeight="true" outlineLevel="0" collapsed="false">
      <c r="C148" s="93"/>
    </row>
    <row r="149" customFormat="false" ht="15.75" hidden="false" customHeight="true" outlineLevel="0" collapsed="false">
      <c r="C149" s="93"/>
    </row>
    <row r="150" customFormat="false" ht="15.75" hidden="false" customHeight="true" outlineLevel="0" collapsed="false">
      <c r="C150" s="93"/>
    </row>
    <row r="151" customFormat="false" ht="15.75" hidden="false" customHeight="true" outlineLevel="0" collapsed="false">
      <c r="C151" s="93"/>
    </row>
    <row r="152" customFormat="false" ht="15.75" hidden="false" customHeight="true" outlineLevel="0" collapsed="false">
      <c r="C152" s="93"/>
    </row>
    <row r="153" customFormat="false" ht="15.75" hidden="false" customHeight="true" outlineLevel="0" collapsed="false">
      <c r="C153" s="93"/>
    </row>
    <row r="154" customFormat="false" ht="15.75" hidden="false" customHeight="true" outlineLevel="0" collapsed="false">
      <c r="C154" s="93"/>
    </row>
    <row r="155" customFormat="false" ht="15.75" hidden="false" customHeight="true" outlineLevel="0" collapsed="false">
      <c r="C155" s="93"/>
    </row>
    <row r="156" customFormat="false" ht="15.75" hidden="false" customHeight="true" outlineLevel="0" collapsed="false">
      <c r="C156" s="93"/>
    </row>
    <row r="157" customFormat="false" ht="15.75" hidden="false" customHeight="true" outlineLevel="0" collapsed="false">
      <c r="C157" s="93"/>
    </row>
    <row r="158" customFormat="false" ht="15.75" hidden="false" customHeight="true" outlineLevel="0" collapsed="false">
      <c r="C158" s="93"/>
    </row>
    <row r="159" customFormat="false" ht="15.75" hidden="false" customHeight="true" outlineLevel="0" collapsed="false">
      <c r="C159" s="93"/>
    </row>
    <row r="160" customFormat="false" ht="15.75" hidden="false" customHeight="true" outlineLevel="0" collapsed="false">
      <c r="C160" s="93"/>
    </row>
    <row r="161" customFormat="false" ht="15.75" hidden="false" customHeight="true" outlineLevel="0" collapsed="false">
      <c r="C161" s="93"/>
    </row>
    <row r="162" customFormat="false" ht="15.75" hidden="false" customHeight="true" outlineLevel="0" collapsed="false">
      <c r="C162" s="93"/>
    </row>
    <row r="163" customFormat="false" ht="15.75" hidden="false" customHeight="true" outlineLevel="0" collapsed="false">
      <c r="C163" s="93"/>
    </row>
    <row r="164" customFormat="false" ht="15.75" hidden="false" customHeight="true" outlineLevel="0" collapsed="false">
      <c r="C164" s="93"/>
    </row>
    <row r="165" customFormat="false" ht="15.75" hidden="false" customHeight="true" outlineLevel="0" collapsed="false">
      <c r="C165" s="93"/>
    </row>
    <row r="166" customFormat="false" ht="15.75" hidden="false" customHeight="true" outlineLevel="0" collapsed="false">
      <c r="C166" s="93"/>
    </row>
    <row r="167" customFormat="false" ht="15.75" hidden="false" customHeight="true" outlineLevel="0" collapsed="false">
      <c r="C167" s="93"/>
    </row>
    <row r="168" customFormat="false" ht="15.75" hidden="false" customHeight="true" outlineLevel="0" collapsed="false">
      <c r="C168" s="93"/>
    </row>
    <row r="169" customFormat="false" ht="15.75" hidden="false" customHeight="true" outlineLevel="0" collapsed="false">
      <c r="C169" s="93"/>
    </row>
    <row r="170" customFormat="false" ht="15.75" hidden="false" customHeight="true" outlineLevel="0" collapsed="false">
      <c r="C170" s="93"/>
    </row>
    <row r="171" customFormat="false" ht="15.75" hidden="false" customHeight="true" outlineLevel="0" collapsed="false">
      <c r="C171" s="93"/>
    </row>
    <row r="172" customFormat="false" ht="15.75" hidden="false" customHeight="true" outlineLevel="0" collapsed="false">
      <c r="C172" s="93"/>
    </row>
    <row r="173" customFormat="false" ht="15.75" hidden="false" customHeight="true" outlineLevel="0" collapsed="false">
      <c r="C173" s="93"/>
    </row>
    <row r="174" customFormat="false" ht="15.75" hidden="false" customHeight="true" outlineLevel="0" collapsed="false">
      <c r="C174" s="93"/>
    </row>
    <row r="175" customFormat="false" ht="15.75" hidden="false" customHeight="true" outlineLevel="0" collapsed="false">
      <c r="C175" s="93"/>
    </row>
    <row r="176" customFormat="false" ht="15.75" hidden="false" customHeight="true" outlineLevel="0" collapsed="false">
      <c r="C176" s="93"/>
    </row>
    <row r="177" customFormat="false" ht="15.75" hidden="false" customHeight="true" outlineLevel="0" collapsed="false">
      <c r="C177" s="93"/>
    </row>
    <row r="178" customFormat="false" ht="15.75" hidden="false" customHeight="true" outlineLevel="0" collapsed="false">
      <c r="C178" s="93"/>
    </row>
    <row r="179" customFormat="false" ht="15.75" hidden="false" customHeight="true" outlineLevel="0" collapsed="false">
      <c r="C179" s="93"/>
    </row>
    <row r="180" customFormat="false" ht="15.75" hidden="false" customHeight="true" outlineLevel="0" collapsed="false">
      <c r="C180" s="93"/>
    </row>
    <row r="181" customFormat="false" ht="15.75" hidden="false" customHeight="true" outlineLevel="0" collapsed="false">
      <c r="C181" s="93"/>
    </row>
    <row r="182" customFormat="false" ht="15.75" hidden="false" customHeight="true" outlineLevel="0" collapsed="false">
      <c r="C182" s="93"/>
    </row>
    <row r="183" customFormat="false" ht="15.75" hidden="false" customHeight="true" outlineLevel="0" collapsed="false">
      <c r="C183" s="93"/>
    </row>
    <row r="184" customFormat="false" ht="15.75" hidden="false" customHeight="true" outlineLevel="0" collapsed="false">
      <c r="C184" s="93"/>
    </row>
    <row r="185" customFormat="false" ht="15.75" hidden="false" customHeight="true" outlineLevel="0" collapsed="false">
      <c r="C185" s="93"/>
    </row>
    <row r="186" customFormat="false" ht="15.75" hidden="false" customHeight="true" outlineLevel="0" collapsed="false">
      <c r="C186" s="93"/>
    </row>
    <row r="187" customFormat="false" ht="15.75" hidden="false" customHeight="true" outlineLevel="0" collapsed="false">
      <c r="C187" s="93"/>
    </row>
    <row r="188" customFormat="false" ht="15.75" hidden="false" customHeight="true" outlineLevel="0" collapsed="false">
      <c r="C188" s="93"/>
    </row>
    <row r="189" customFormat="false" ht="15.75" hidden="false" customHeight="true" outlineLevel="0" collapsed="false">
      <c r="C189" s="93"/>
    </row>
    <row r="190" customFormat="false" ht="15.75" hidden="false" customHeight="true" outlineLevel="0" collapsed="false">
      <c r="C190" s="93"/>
    </row>
    <row r="191" customFormat="false" ht="15.75" hidden="false" customHeight="true" outlineLevel="0" collapsed="false">
      <c r="C191" s="93"/>
    </row>
    <row r="192" customFormat="false" ht="15.75" hidden="false" customHeight="true" outlineLevel="0" collapsed="false">
      <c r="C192" s="93"/>
    </row>
    <row r="193" customFormat="false" ht="15.75" hidden="false" customHeight="true" outlineLevel="0" collapsed="false">
      <c r="C193" s="93"/>
    </row>
    <row r="194" customFormat="false" ht="15.75" hidden="false" customHeight="true" outlineLevel="0" collapsed="false">
      <c r="C194" s="93"/>
    </row>
    <row r="195" customFormat="false" ht="15.75" hidden="false" customHeight="true" outlineLevel="0" collapsed="false">
      <c r="C195" s="93"/>
    </row>
    <row r="196" customFormat="false" ht="15.75" hidden="false" customHeight="true" outlineLevel="0" collapsed="false">
      <c r="C196" s="93"/>
    </row>
    <row r="197" customFormat="false" ht="15.75" hidden="false" customHeight="true" outlineLevel="0" collapsed="false">
      <c r="C197" s="93"/>
    </row>
    <row r="198" customFormat="false" ht="15.75" hidden="false" customHeight="true" outlineLevel="0" collapsed="false">
      <c r="C198" s="93"/>
    </row>
    <row r="199" customFormat="false" ht="15.75" hidden="false" customHeight="true" outlineLevel="0" collapsed="false">
      <c r="C199" s="93"/>
    </row>
    <row r="200" customFormat="false" ht="15.75" hidden="false" customHeight="true" outlineLevel="0" collapsed="false">
      <c r="C200" s="93"/>
    </row>
    <row r="201" customFormat="false" ht="15.75" hidden="false" customHeight="true" outlineLevel="0" collapsed="false">
      <c r="C201" s="93"/>
    </row>
    <row r="202" customFormat="false" ht="15.75" hidden="false" customHeight="true" outlineLevel="0" collapsed="false">
      <c r="C202" s="93"/>
    </row>
    <row r="203" customFormat="false" ht="15.75" hidden="false" customHeight="true" outlineLevel="0" collapsed="false">
      <c r="C203" s="93"/>
    </row>
    <row r="204" customFormat="false" ht="15.75" hidden="false" customHeight="true" outlineLevel="0" collapsed="false">
      <c r="C204" s="93"/>
    </row>
    <row r="205" customFormat="false" ht="15.75" hidden="false" customHeight="true" outlineLevel="0" collapsed="false">
      <c r="C205" s="93"/>
    </row>
    <row r="206" customFormat="false" ht="15.75" hidden="false" customHeight="true" outlineLevel="0" collapsed="false">
      <c r="C206" s="93"/>
    </row>
    <row r="207" customFormat="false" ht="15.75" hidden="false" customHeight="true" outlineLevel="0" collapsed="false">
      <c r="C207" s="93"/>
    </row>
    <row r="208" customFormat="false" ht="15.75" hidden="false" customHeight="true" outlineLevel="0" collapsed="false">
      <c r="C208" s="93"/>
    </row>
    <row r="209" customFormat="false" ht="15.75" hidden="false" customHeight="true" outlineLevel="0" collapsed="false">
      <c r="C209" s="93"/>
    </row>
    <row r="210" customFormat="false" ht="15.75" hidden="false" customHeight="true" outlineLevel="0" collapsed="false">
      <c r="C210" s="93"/>
    </row>
    <row r="211" customFormat="false" ht="15.75" hidden="false" customHeight="true" outlineLevel="0" collapsed="false">
      <c r="C211" s="93"/>
    </row>
    <row r="212" customFormat="false" ht="15.75" hidden="false" customHeight="true" outlineLevel="0" collapsed="false">
      <c r="C212" s="93"/>
    </row>
    <row r="213" customFormat="false" ht="15.75" hidden="false" customHeight="true" outlineLevel="0" collapsed="false">
      <c r="C213" s="93"/>
    </row>
    <row r="214" customFormat="false" ht="15.75" hidden="false" customHeight="true" outlineLevel="0" collapsed="false">
      <c r="C214" s="93"/>
    </row>
    <row r="215" customFormat="false" ht="15.75" hidden="false" customHeight="true" outlineLevel="0" collapsed="false">
      <c r="C215" s="93"/>
    </row>
    <row r="216" customFormat="false" ht="15.75" hidden="false" customHeight="true" outlineLevel="0" collapsed="false">
      <c r="C216" s="93"/>
    </row>
    <row r="217" customFormat="false" ht="15.75" hidden="false" customHeight="true" outlineLevel="0" collapsed="false">
      <c r="C217" s="93"/>
    </row>
    <row r="218" customFormat="false" ht="15.75" hidden="false" customHeight="true" outlineLevel="0" collapsed="false">
      <c r="C218" s="93"/>
    </row>
    <row r="219" customFormat="false" ht="15.75" hidden="false" customHeight="true" outlineLevel="0" collapsed="false">
      <c r="C219" s="93"/>
    </row>
    <row r="220" customFormat="false" ht="15.75" hidden="false" customHeight="true" outlineLevel="0" collapsed="false">
      <c r="C220" s="93"/>
    </row>
    <row r="221" customFormat="false" ht="15.75" hidden="false" customHeight="true" outlineLevel="0" collapsed="false">
      <c r="C221" s="93"/>
    </row>
    <row r="222" customFormat="false" ht="15.75" hidden="false" customHeight="true" outlineLevel="0" collapsed="false">
      <c r="C222" s="93"/>
    </row>
    <row r="223" customFormat="false" ht="15.75" hidden="false" customHeight="true" outlineLevel="0" collapsed="false">
      <c r="C223" s="93"/>
    </row>
    <row r="224" customFormat="false" ht="15.75" hidden="false" customHeight="true" outlineLevel="0" collapsed="false">
      <c r="C224" s="93"/>
    </row>
    <row r="225" customFormat="false" ht="15.75" hidden="false" customHeight="true" outlineLevel="0" collapsed="false">
      <c r="C225" s="93"/>
    </row>
    <row r="226" customFormat="false" ht="15.75" hidden="false" customHeight="true" outlineLevel="0" collapsed="false">
      <c r="C226" s="93"/>
    </row>
    <row r="227" customFormat="false" ht="15.75" hidden="false" customHeight="true" outlineLevel="0" collapsed="false">
      <c r="C227" s="93"/>
    </row>
    <row r="228" customFormat="false" ht="15.75" hidden="false" customHeight="true" outlineLevel="0" collapsed="false">
      <c r="C228" s="93"/>
    </row>
    <row r="229" customFormat="false" ht="15.75" hidden="false" customHeight="true" outlineLevel="0" collapsed="false">
      <c r="C229" s="93"/>
    </row>
    <row r="230" customFormat="false" ht="15.75" hidden="false" customHeight="true" outlineLevel="0" collapsed="false">
      <c r="C230" s="93"/>
    </row>
    <row r="231" customFormat="false" ht="15.75" hidden="false" customHeight="true" outlineLevel="0" collapsed="false">
      <c r="C231" s="93"/>
    </row>
    <row r="232" customFormat="false" ht="15.75" hidden="false" customHeight="true" outlineLevel="0" collapsed="false">
      <c r="C232" s="93"/>
    </row>
    <row r="233" customFormat="false" ht="15.75" hidden="false" customHeight="true" outlineLevel="0" collapsed="false">
      <c r="C233" s="93"/>
    </row>
    <row r="234" customFormat="false" ht="15.75" hidden="false" customHeight="true" outlineLevel="0" collapsed="false">
      <c r="C234" s="93"/>
    </row>
    <row r="235" customFormat="false" ht="15.75" hidden="false" customHeight="true" outlineLevel="0" collapsed="false">
      <c r="C235" s="93"/>
    </row>
    <row r="236" customFormat="false" ht="15.75" hidden="false" customHeight="true" outlineLevel="0" collapsed="false">
      <c r="C236" s="93"/>
    </row>
    <row r="237" customFormat="false" ht="15.75" hidden="false" customHeight="true" outlineLevel="0" collapsed="false">
      <c r="C237" s="93"/>
    </row>
    <row r="238" customFormat="false" ht="15.75" hidden="false" customHeight="true" outlineLevel="0" collapsed="false">
      <c r="C238" s="93"/>
    </row>
    <row r="239" customFormat="false" ht="15.75" hidden="false" customHeight="true" outlineLevel="0" collapsed="false">
      <c r="C239" s="93"/>
    </row>
    <row r="240" customFormat="false" ht="15.75" hidden="false" customHeight="true" outlineLevel="0" collapsed="false">
      <c r="C240" s="93"/>
    </row>
    <row r="241" customFormat="false" ht="15.75" hidden="false" customHeight="true" outlineLevel="0" collapsed="false">
      <c r="C241" s="93"/>
    </row>
    <row r="242" customFormat="false" ht="15.75" hidden="false" customHeight="true" outlineLevel="0" collapsed="false">
      <c r="C242" s="93"/>
    </row>
    <row r="243" customFormat="false" ht="15.75" hidden="false" customHeight="true" outlineLevel="0" collapsed="false">
      <c r="C243" s="93"/>
    </row>
    <row r="244" customFormat="false" ht="15.75" hidden="false" customHeight="true" outlineLevel="0" collapsed="false">
      <c r="C244" s="93"/>
    </row>
    <row r="245" customFormat="false" ht="15.75" hidden="false" customHeight="true" outlineLevel="0" collapsed="false">
      <c r="C245" s="93"/>
    </row>
    <row r="246" customFormat="false" ht="15.75" hidden="false" customHeight="true" outlineLevel="0" collapsed="false">
      <c r="C246" s="93"/>
    </row>
    <row r="247" customFormat="false" ht="15.75" hidden="false" customHeight="true" outlineLevel="0" collapsed="false">
      <c r="C247" s="93"/>
    </row>
    <row r="248" customFormat="false" ht="15.75" hidden="false" customHeight="true" outlineLevel="0" collapsed="false">
      <c r="C248" s="93"/>
    </row>
    <row r="249" customFormat="false" ht="15.75" hidden="false" customHeight="true" outlineLevel="0" collapsed="false">
      <c r="C249" s="93"/>
    </row>
    <row r="250" customFormat="false" ht="15.75" hidden="false" customHeight="true" outlineLevel="0" collapsed="false">
      <c r="C250" s="93"/>
    </row>
    <row r="251" customFormat="false" ht="15.75" hidden="false" customHeight="true" outlineLevel="0" collapsed="false">
      <c r="C251" s="93"/>
    </row>
    <row r="252" customFormat="false" ht="15.75" hidden="false" customHeight="true" outlineLevel="0" collapsed="false">
      <c r="C252" s="93"/>
    </row>
    <row r="253" customFormat="false" ht="15.75" hidden="false" customHeight="true" outlineLevel="0" collapsed="false">
      <c r="C253" s="93"/>
    </row>
    <row r="254" customFormat="false" ht="15.75" hidden="false" customHeight="true" outlineLevel="0" collapsed="false">
      <c r="C254" s="93"/>
    </row>
    <row r="255" customFormat="false" ht="15.75" hidden="false" customHeight="true" outlineLevel="0" collapsed="false">
      <c r="C255" s="93"/>
    </row>
    <row r="256" customFormat="false" ht="15.75" hidden="false" customHeight="true" outlineLevel="0" collapsed="false">
      <c r="C256" s="93"/>
    </row>
    <row r="257" customFormat="false" ht="15.75" hidden="false" customHeight="true" outlineLevel="0" collapsed="false">
      <c r="C257" s="93"/>
    </row>
    <row r="258" customFormat="false" ht="15.75" hidden="false" customHeight="true" outlineLevel="0" collapsed="false">
      <c r="C258" s="93"/>
    </row>
    <row r="259" customFormat="false" ht="15.75" hidden="false" customHeight="true" outlineLevel="0" collapsed="false">
      <c r="C259" s="93"/>
    </row>
    <row r="260" customFormat="false" ht="15.75" hidden="false" customHeight="true" outlineLevel="0" collapsed="false">
      <c r="C260" s="93"/>
    </row>
    <row r="261" customFormat="false" ht="15.75" hidden="false" customHeight="true" outlineLevel="0" collapsed="false">
      <c r="C261" s="93"/>
    </row>
    <row r="262" customFormat="false" ht="15.75" hidden="false" customHeight="true" outlineLevel="0" collapsed="false">
      <c r="C262" s="93"/>
    </row>
    <row r="263" customFormat="false" ht="15.75" hidden="false" customHeight="true" outlineLevel="0" collapsed="false">
      <c r="C263" s="93"/>
    </row>
    <row r="264" customFormat="false" ht="15.75" hidden="false" customHeight="true" outlineLevel="0" collapsed="false">
      <c r="C264" s="93"/>
    </row>
    <row r="265" customFormat="false" ht="15.75" hidden="false" customHeight="true" outlineLevel="0" collapsed="false">
      <c r="C265" s="93"/>
    </row>
    <row r="266" customFormat="false" ht="15.75" hidden="false" customHeight="true" outlineLevel="0" collapsed="false">
      <c r="C266" s="93"/>
    </row>
    <row r="267" customFormat="false" ht="15.75" hidden="false" customHeight="true" outlineLevel="0" collapsed="false">
      <c r="C267" s="93"/>
    </row>
    <row r="268" customFormat="false" ht="15.75" hidden="false" customHeight="true" outlineLevel="0" collapsed="false">
      <c r="C268" s="93"/>
    </row>
    <row r="269" customFormat="false" ht="15.75" hidden="false" customHeight="true" outlineLevel="0" collapsed="false">
      <c r="C269" s="93"/>
    </row>
    <row r="270" customFormat="false" ht="15.75" hidden="false" customHeight="true" outlineLevel="0" collapsed="false">
      <c r="C270" s="93"/>
    </row>
    <row r="271" customFormat="false" ht="15.75" hidden="false" customHeight="true" outlineLevel="0" collapsed="false">
      <c r="C271" s="93"/>
    </row>
    <row r="272" customFormat="false" ht="15.75" hidden="false" customHeight="true" outlineLevel="0" collapsed="false">
      <c r="C272" s="93"/>
    </row>
    <row r="273" customFormat="false" ht="15.75" hidden="false" customHeight="true" outlineLevel="0" collapsed="false">
      <c r="C273" s="93"/>
    </row>
    <row r="274" customFormat="false" ht="15.75" hidden="false" customHeight="true" outlineLevel="0" collapsed="false">
      <c r="C274" s="93"/>
    </row>
    <row r="275" customFormat="false" ht="15.75" hidden="false" customHeight="true" outlineLevel="0" collapsed="false">
      <c r="C275" s="93"/>
    </row>
    <row r="276" customFormat="false" ht="15.75" hidden="false" customHeight="true" outlineLevel="0" collapsed="false">
      <c r="C276" s="93"/>
    </row>
    <row r="277" customFormat="false" ht="15.75" hidden="false" customHeight="true" outlineLevel="0" collapsed="false">
      <c r="C277" s="93"/>
    </row>
    <row r="278" customFormat="false" ht="15.75" hidden="false" customHeight="true" outlineLevel="0" collapsed="false">
      <c r="C278" s="93"/>
    </row>
    <row r="279" customFormat="false" ht="15.75" hidden="false" customHeight="true" outlineLevel="0" collapsed="false">
      <c r="C279" s="93"/>
    </row>
    <row r="280" customFormat="false" ht="15.75" hidden="false" customHeight="true" outlineLevel="0" collapsed="false">
      <c r="C280" s="93"/>
    </row>
    <row r="281" customFormat="false" ht="15.75" hidden="false" customHeight="true" outlineLevel="0" collapsed="false">
      <c r="C281" s="93"/>
    </row>
    <row r="282" customFormat="false" ht="15.75" hidden="false" customHeight="true" outlineLevel="0" collapsed="false">
      <c r="C282" s="93"/>
    </row>
    <row r="283" customFormat="false" ht="15.75" hidden="false" customHeight="true" outlineLevel="0" collapsed="false">
      <c r="C283" s="93"/>
    </row>
    <row r="284" customFormat="false" ht="15.75" hidden="false" customHeight="true" outlineLevel="0" collapsed="false">
      <c r="C284" s="93"/>
    </row>
    <row r="285" customFormat="false" ht="15.75" hidden="false" customHeight="true" outlineLevel="0" collapsed="false">
      <c r="C285" s="93"/>
    </row>
    <row r="286" customFormat="false" ht="15.75" hidden="false" customHeight="true" outlineLevel="0" collapsed="false">
      <c r="C286" s="93"/>
    </row>
    <row r="287" customFormat="false" ht="15.75" hidden="false" customHeight="true" outlineLevel="0" collapsed="false">
      <c r="C287" s="93"/>
    </row>
    <row r="288" customFormat="false" ht="15.75" hidden="false" customHeight="true" outlineLevel="0" collapsed="false">
      <c r="C288" s="93"/>
    </row>
    <row r="289" customFormat="false" ht="15.75" hidden="false" customHeight="true" outlineLevel="0" collapsed="false">
      <c r="C289" s="93"/>
    </row>
    <row r="290" customFormat="false" ht="15.75" hidden="false" customHeight="true" outlineLevel="0" collapsed="false">
      <c r="C290" s="93"/>
    </row>
    <row r="291" customFormat="false" ht="15.75" hidden="false" customHeight="true" outlineLevel="0" collapsed="false">
      <c r="C291" s="93"/>
    </row>
    <row r="292" customFormat="false" ht="15.75" hidden="false" customHeight="true" outlineLevel="0" collapsed="false">
      <c r="C292" s="93"/>
    </row>
    <row r="293" customFormat="false" ht="15.75" hidden="false" customHeight="true" outlineLevel="0" collapsed="false">
      <c r="C293" s="93"/>
    </row>
    <row r="294" customFormat="false" ht="15.75" hidden="false" customHeight="true" outlineLevel="0" collapsed="false">
      <c r="C294" s="93"/>
    </row>
    <row r="295" customFormat="false" ht="15.75" hidden="false" customHeight="true" outlineLevel="0" collapsed="false">
      <c r="C295" s="93"/>
    </row>
    <row r="296" customFormat="false" ht="15.75" hidden="false" customHeight="true" outlineLevel="0" collapsed="false">
      <c r="C296" s="93"/>
    </row>
    <row r="297" customFormat="false" ht="15.75" hidden="false" customHeight="true" outlineLevel="0" collapsed="false">
      <c r="C297" s="93"/>
    </row>
    <row r="298" customFormat="false" ht="15.75" hidden="false" customHeight="true" outlineLevel="0" collapsed="false">
      <c r="C298" s="93"/>
    </row>
    <row r="299" customFormat="false" ht="15.75" hidden="false" customHeight="true" outlineLevel="0" collapsed="false">
      <c r="C299" s="93"/>
    </row>
    <row r="300" customFormat="false" ht="15.75" hidden="false" customHeight="true" outlineLevel="0" collapsed="false">
      <c r="C300" s="93"/>
    </row>
    <row r="301" customFormat="false" ht="15.75" hidden="false" customHeight="true" outlineLevel="0" collapsed="false">
      <c r="C301" s="93"/>
    </row>
    <row r="302" customFormat="false" ht="15.75" hidden="false" customHeight="true" outlineLevel="0" collapsed="false">
      <c r="C302" s="93"/>
    </row>
    <row r="303" customFormat="false" ht="15.75" hidden="false" customHeight="true" outlineLevel="0" collapsed="false">
      <c r="C303" s="93"/>
    </row>
    <row r="304" customFormat="false" ht="15.75" hidden="false" customHeight="true" outlineLevel="0" collapsed="false">
      <c r="C304" s="93"/>
    </row>
    <row r="305" customFormat="false" ht="15.75" hidden="false" customHeight="true" outlineLevel="0" collapsed="false">
      <c r="C305" s="93"/>
    </row>
    <row r="306" customFormat="false" ht="15.75" hidden="false" customHeight="true" outlineLevel="0" collapsed="false">
      <c r="C306" s="93"/>
    </row>
    <row r="307" customFormat="false" ht="15.75" hidden="false" customHeight="true" outlineLevel="0" collapsed="false">
      <c r="C307" s="93"/>
    </row>
    <row r="308" customFormat="false" ht="15.75" hidden="false" customHeight="true" outlineLevel="0" collapsed="false">
      <c r="C308" s="93"/>
    </row>
    <row r="309" customFormat="false" ht="15.75" hidden="false" customHeight="true" outlineLevel="0" collapsed="false">
      <c r="C309" s="93"/>
    </row>
    <row r="310" customFormat="false" ht="15.75" hidden="false" customHeight="true" outlineLevel="0" collapsed="false">
      <c r="C310" s="93"/>
    </row>
    <row r="311" customFormat="false" ht="15.75" hidden="false" customHeight="true" outlineLevel="0" collapsed="false">
      <c r="C311" s="93"/>
    </row>
    <row r="312" customFormat="false" ht="15.75" hidden="false" customHeight="true" outlineLevel="0" collapsed="false">
      <c r="C312" s="93"/>
    </row>
    <row r="313" customFormat="false" ht="15.75" hidden="false" customHeight="true" outlineLevel="0" collapsed="false">
      <c r="C313" s="93"/>
    </row>
    <row r="314" customFormat="false" ht="15.75" hidden="false" customHeight="true" outlineLevel="0" collapsed="false">
      <c r="C314" s="93"/>
    </row>
    <row r="315" customFormat="false" ht="15.75" hidden="false" customHeight="true" outlineLevel="0" collapsed="false">
      <c r="C315" s="93"/>
    </row>
    <row r="316" customFormat="false" ht="15.75" hidden="false" customHeight="true" outlineLevel="0" collapsed="false">
      <c r="C316" s="93"/>
    </row>
    <row r="317" customFormat="false" ht="15.75" hidden="false" customHeight="true" outlineLevel="0" collapsed="false">
      <c r="C317" s="93"/>
    </row>
    <row r="318" customFormat="false" ht="15.75" hidden="false" customHeight="true" outlineLevel="0" collapsed="false">
      <c r="C318" s="93"/>
    </row>
    <row r="319" customFormat="false" ht="15.75" hidden="false" customHeight="true" outlineLevel="0" collapsed="false">
      <c r="C319" s="93"/>
    </row>
    <row r="320" customFormat="false" ht="15.75" hidden="false" customHeight="true" outlineLevel="0" collapsed="false">
      <c r="C320" s="93"/>
    </row>
    <row r="321" customFormat="false" ht="15.75" hidden="false" customHeight="true" outlineLevel="0" collapsed="false">
      <c r="C321" s="93"/>
    </row>
    <row r="322" customFormat="false" ht="15.75" hidden="false" customHeight="true" outlineLevel="0" collapsed="false">
      <c r="C322" s="93"/>
    </row>
    <row r="323" customFormat="false" ht="15.75" hidden="false" customHeight="true" outlineLevel="0" collapsed="false">
      <c r="C323" s="93"/>
    </row>
    <row r="324" customFormat="false" ht="15.75" hidden="false" customHeight="true" outlineLevel="0" collapsed="false">
      <c r="C324" s="93"/>
    </row>
    <row r="325" customFormat="false" ht="15.75" hidden="false" customHeight="true" outlineLevel="0" collapsed="false">
      <c r="C325" s="93"/>
    </row>
    <row r="326" customFormat="false" ht="15.75" hidden="false" customHeight="true" outlineLevel="0" collapsed="false">
      <c r="C326" s="93"/>
    </row>
    <row r="327" customFormat="false" ht="15.75" hidden="false" customHeight="true" outlineLevel="0" collapsed="false">
      <c r="C327" s="93"/>
    </row>
    <row r="328" customFormat="false" ht="15.75" hidden="false" customHeight="true" outlineLevel="0" collapsed="false">
      <c r="C328" s="93"/>
    </row>
    <row r="329" customFormat="false" ht="15.75" hidden="false" customHeight="true" outlineLevel="0" collapsed="false">
      <c r="C329" s="93"/>
    </row>
    <row r="330" customFormat="false" ht="15.75" hidden="false" customHeight="true" outlineLevel="0" collapsed="false">
      <c r="C330" s="93"/>
    </row>
    <row r="331" customFormat="false" ht="15.75" hidden="false" customHeight="true" outlineLevel="0" collapsed="false">
      <c r="C331" s="93"/>
    </row>
    <row r="332" customFormat="false" ht="15.75" hidden="false" customHeight="true" outlineLevel="0" collapsed="false">
      <c r="C332" s="93"/>
    </row>
    <row r="333" customFormat="false" ht="15.75" hidden="false" customHeight="true" outlineLevel="0" collapsed="false">
      <c r="C333" s="93"/>
    </row>
    <row r="334" customFormat="false" ht="15.75" hidden="false" customHeight="true" outlineLevel="0" collapsed="false">
      <c r="C334" s="93"/>
    </row>
    <row r="335" customFormat="false" ht="15.75" hidden="false" customHeight="true" outlineLevel="0" collapsed="false">
      <c r="C335" s="93"/>
    </row>
    <row r="336" customFormat="false" ht="15.75" hidden="false" customHeight="true" outlineLevel="0" collapsed="false">
      <c r="C336" s="93"/>
    </row>
    <row r="337" customFormat="false" ht="15.75" hidden="false" customHeight="true" outlineLevel="0" collapsed="false">
      <c r="C337" s="93"/>
    </row>
    <row r="338" customFormat="false" ht="15.75" hidden="false" customHeight="true" outlineLevel="0" collapsed="false">
      <c r="C338" s="93"/>
    </row>
    <row r="339" customFormat="false" ht="15.75" hidden="false" customHeight="true" outlineLevel="0" collapsed="false">
      <c r="C339" s="93"/>
    </row>
    <row r="340" customFormat="false" ht="15.75" hidden="false" customHeight="true" outlineLevel="0" collapsed="false">
      <c r="C340" s="93"/>
    </row>
    <row r="341" customFormat="false" ht="15.75" hidden="false" customHeight="true" outlineLevel="0" collapsed="false">
      <c r="C341" s="93"/>
    </row>
    <row r="342" customFormat="false" ht="15.75" hidden="false" customHeight="true" outlineLevel="0" collapsed="false">
      <c r="C342" s="93"/>
    </row>
    <row r="343" customFormat="false" ht="15.75" hidden="false" customHeight="true" outlineLevel="0" collapsed="false">
      <c r="C343" s="93"/>
    </row>
    <row r="344" customFormat="false" ht="15.75" hidden="false" customHeight="true" outlineLevel="0" collapsed="false">
      <c r="C344" s="93"/>
    </row>
    <row r="345" customFormat="false" ht="15.75" hidden="false" customHeight="true" outlineLevel="0" collapsed="false">
      <c r="C345" s="93"/>
    </row>
    <row r="346" customFormat="false" ht="15.75" hidden="false" customHeight="true" outlineLevel="0" collapsed="false">
      <c r="C346" s="93"/>
    </row>
    <row r="347" customFormat="false" ht="15.75" hidden="false" customHeight="true" outlineLevel="0" collapsed="false">
      <c r="C347" s="93"/>
    </row>
    <row r="348" customFormat="false" ht="15.75" hidden="false" customHeight="true" outlineLevel="0" collapsed="false">
      <c r="C348" s="93"/>
    </row>
    <row r="349" customFormat="false" ht="15.75" hidden="false" customHeight="true" outlineLevel="0" collapsed="false">
      <c r="C349" s="93"/>
    </row>
    <row r="350" customFormat="false" ht="15.75" hidden="false" customHeight="true" outlineLevel="0" collapsed="false">
      <c r="C350" s="93"/>
    </row>
    <row r="351" customFormat="false" ht="15.75" hidden="false" customHeight="true" outlineLevel="0" collapsed="false">
      <c r="C351" s="93"/>
    </row>
    <row r="352" customFormat="false" ht="15.75" hidden="false" customHeight="true" outlineLevel="0" collapsed="false">
      <c r="C352" s="93"/>
    </row>
    <row r="353" customFormat="false" ht="15.75" hidden="false" customHeight="true" outlineLevel="0" collapsed="false">
      <c r="C353" s="93"/>
    </row>
    <row r="354" customFormat="false" ht="15.75" hidden="false" customHeight="true" outlineLevel="0" collapsed="false">
      <c r="C354" s="93"/>
    </row>
    <row r="355" customFormat="false" ht="15.75" hidden="false" customHeight="true" outlineLevel="0" collapsed="false">
      <c r="C355" s="93"/>
    </row>
    <row r="356" customFormat="false" ht="15.75" hidden="false" customHeight="true" outlineLevel="0" collapsed="false">
      <c r="C356" s="93"/>
    </row>
    <row r="357" customFormat="false" ht="15.75" hidden="false" customHeight="true" outlineLevel="0" collapsed="false">
      <c r="C357" s="93"/>
    </row>
    <row r="358" customFormat="false" ht="15.75" hidden="false" customHeight="true" outlineLevel="0" collapsed="false">
      <c r="C358" s="93"/>
    </row>
    <row r="359" customFormat="false" ht="15.75" hidden="false" customHeight="true" outlineLevel="0" collapsed="false">
      <c r="C359" s="93"/>
    </row>
    <row r="360" customFormat="false" ht="15.75" hidden="false" customHeight="true" outlineLevel="0" collapsed="false">
      <c r="C360" s="93"/>
    </row>
    <row r="361" customFormat="false" ht="15.75" hidden="false" customHeight="true" outlineLevel="0" collapsed="false">
      <c r="C361" s="93"/>
    </row>
    <row r="362" customFormat="false" ht="15.75" hidden="false" customHeight="true" outlineLevel="0" collapsed="false">
      <c r="C362" s="93"/>
    </row>
    <row r="363" customFormat="false" ht="15.75" hidden="false" customHeight="true" outlineLevel="0" collapsed="false">
      <c r="C363" s="93"/>
    </row>
    <row r="364" customFormat="false" ht="15.75" hidden="false" customHeight="true" outlineLevel="0" collapsed="false">
      <c r="C364" s="93"/>
    </row>
    <row r="365" customFormat="false" ht="15.75" hidden="false" customHeight="true" outlineLevel="0" collapsed="false">
      <c r="C365" s="93"/>
    </row>
    <row r="366" customFormat="false" ht="15.75" hidden="false" customHeight="true" outlineLevel="0" collapsed="false">
      <c r="C366" s="93"/>
    </row>
    <row r="367" customFormat="false" ht="15.75" hidden="false" customHeight="true" outlineLevel="0" collapsed="false">
      <c r="C367" s="93"/>
    </row>
    <row r="368" customFormat="false" ht="15.75" hidden="false" customHeight="true" outlineLevel="0" collapsed="false">
      <c r="C368" s="93"/>
    </row>
    <row r="369" customFormat="false" ht="15.75" hidden="false" customHeight="true" outlineLevel="0" collapsed="false">
      <c r="C369" s="93"/>
    </row>
    <row r="370" customFormat="false" ht="15.75" hidden="false" customHeight="true" outlineLevel="0" collapsed="false">
      <c r="C370" s="93"/>
    </row>
    <row r="371" customFormat="false" ht="15.75" hidden="false" customHeight="true" outlineLevel="0" collapsed="false">
      <c r="C371" s="93"/>
    </row>
    <row r="372" customFormat="false" ht="15.75" hidden="false" customHeight="true" outlineLevel="0" collapsed="false">
      <c r="C372" s="93"/>
    </row>
    <row r="373" customFormat="false" ht="15.75" hidden="false" customHeight="true" outlineLevel="0" collapsed="false">
      <c r="C373" s="93"/>
    </row>
    <row r="374" customFormat="false" ht="15.75" hidden="false" customHeight="true" outlineLevel="0" collapsed="false">
      <c r="C374" s="93"/>
    </row>
    <row r="375" customFormat="false" ht="15.75" hidden="false" customHeight="true" outlineLevel="0" collapsed="false">
      <c r="C375" s="93"/>
    </row>
    <row r="376" customFormat="false" ht="15.75" hidden="false" customHeight="true" outlineLevel="0" collapsed="false">
      <c r="C376" s="93"/>
    </row>
    <row r="377" customFormat="false" ht="15.75" hidden="false" customHeight="true" outlineLevel="0" collapsed="false">
      <c r="C377" s="93"/>
    </row>
    <row r="378" customFormat="false" ht="15.75" hidden="false" customHeight="true" outlineLevel="0" collapsed="false">
      <c r="C378" s="93"/>
    </row>
    <row r="379" customFormat="false" ht="15.75" hidden="false" customHeight="true" outlineLevel="0" collapsed="false">
      <c r="C379" s="93"/>
    </row>
    <row r="380" customFormat="false" ht="15.75" hidden="false" customHeight="true" outlineLevel="0" collapsed="false">
      <c r="C380" s="93"/>
    </row>
    <row r="381" customFormat="false" ht="15.75" hidden="false" customHeight="true" outlineLevel="0" collapsed="false">
      <c r="C381" s="93"/>
    </row>
    <row r="382" customFormat="false" ht="15.75" hidden="false" customHeight="true" outlineLevel="0" collapsed="false">
      <c r="C382" s="93"/>
    </row>
    <row r="383" customFormat="false" ht="15.75" hidden="false" customHeight="true" outlineLevel="0" collapsed="false">
      <c r="C383" s="93"/>
    </row>
    <row r="384" customFormat="false" ht="15.75" hidden="false" customHeight="true" outlineLevel="0" collapsed="false">
      <c r="C384" s="93"/>
    </row>
    <row r="385" customFormat="false" ht="15.75" hidden="false" customHeight="true" outlineLevel="0" collapsed="false">
      <c r="C385" s="93"/>
    </row>
    <row r="386" customFormat="false" ht="15.75" hidden="false" customHeight="true" outlineLevel="0" collapsed="false">
      <c r="C386" s="93"/>
    </row>
    <row r="387" customFormat="false" ht="15.75" hidden="false" customHeight="true" outlineLevel="0" collapsed="false">
      <c r="C387" s="93"/>
    </row>
    <row r="388" customFormat="false" ht="15.75" hidden="false" customHeight="true" outlineLevel="0" collapsed="false">
      <c r="C388" s="93"/>
    </row>
    <row r="389" customFormat="false" ht="15.75" hidden="false" customHeight="true" outlineLevel="0" collapsed="false">
      <c r="C389" s="93"/>
    </row>
    <row r="390" customFormat="false" ht="15.75" hidden="false" customHeight="true" outlineLevel="0" collapsed="false">
      <c r="C390" s="93"/>
    </row>
    <row r="391" customFormat="false" ht="15.75" hidden="false" customHeight="true" outlineLevel="0" collapsed="false">
      <c r="C391" s="93"/>
    </row>
    <row r="392" customFormat="false" ht="15.75" hidden="false" customHeight="true" outlineLevel="0" collapsed="false">
      <c r="C392" s="93"/>
    </row>
    <row r="393" customFormat="false" ht="15.75" hidden="false" customHeight="true" outlineLevel="0" collapsed="false">
      <c r="C393" s="93"/>
    </row>
    <row r="394" customFormat="false" ht="15.75" hidden="false" customHeight="true" outlineLevel="0" collapsed="false">
      <c r="C394" s="93"/>
    </row>
    <row r="395" customFormat="false" ht="15.75" hidden="false" customHeight="true" outlineLevel="0" collapsed="false">
      <c r="C395" s="93"/>
    </row>
    <row r="396" customFormat="false" ht="15.75" hidden="false" customHeight="true" outlineLevel="0" collapsed="false">
      <c r="C396" s="93"/>
    </row>
    <row r="397" customFormat="false" ht="15.75" hidden="false" customHeight="true" outlineLevel="0" collapsed="false">
      <c r="C397" s="93"/>
    </row>
    <row r="398" customFormat="false" ht="15.75" hidden="false" customHeight="true" outlineLevel="0" collapsed="false">
      <c r="C398" s="93"/>
    </row>
    <row r="399" customFormat="false" ht="15.75" hidden="false" customHeight="true" outlineLevel="0" collapsed="false">
      <c r="C399" s="93"/>
    </row>
    <row r="400" customFormat="false" ht="15.75" hidden="false" customHeight="true" outlineLevel="0" collapsed="false">
      <c r="C400" s="93"/>
    </row>
    <row r="401" customFormat="false" ht="15.75" hidden="false" customHeight="true" outlineLevel="0" collapsed="false">
      <c r="C401" s="93"/>
    </row>
    <row r="402" customFormat="false" ht="15.75" hidden="false" customHeight="true" outlineLevel="0" collapsed="false">
      <c r="C402" s="93"/>
    </row>
    <row r="403" customFormat="false" ht="15.75" hidden="false" customHeight="true" outlineLevel="0" collapsed="false">
      <c r="C403" s="93"/>
    </row>
    <row r="404" customFormat="false" ht="15.75" hidden="false" customHeight="true" outlineLevel="0" collapsed="false">
      <c r="C404" s="93"/>
    </row>
    <row r="405" customFormat="false" ht="15.75" hidden="false" customHeight="true" outlineLevel="0" collapsed="false">
      <c r="C405" s="93"/>
    </row>
    <row r="406" customFormat="false" ht="15.75" hidden="false" customHeight="true" outlineLevel="0" collapsed="false">
      <c r="C406" s="93"/>
    </row>
    <row r="407" customFormat="false" ht="15.75" hidden="false" customHeight="true" outlineLevel="0" collapsed="false">
      <c r="C407" s="93"/>
    </row>
    <row r="408" customFormat="false" ht="15.75" hidden="false" customHeight="true" outlineLevel="0" collapsed="false">
      <c r="C408" s="93"/>
    </row>
    <row r="409" customFormat="false" ht="15.75" hidden="false" customHeight="true" outlineLevel="0" collapsed="false">
      <c r="C409" s="93"/>
    </row>
    <row r="410" customFormat="false" ht="15.75" hidden="false" customHeight="true" outlineLevel="0" collapsed="false">
      <c r="C410" s="93"/>
    </row>
    <row r="411" customFormat="false" ht="15.75" hidden="false" customHeight="true" outlineLevel="0" collapsed="false">
      <c r="C411" s="93"/>
    </row>
    <row r="412" customFormat="false" ht="15.75" hidden="false" customHeight="true" outlineLevel="0" collapsed="false">
      <c r="C412" s="93"/>
    </row>
    <row r="413" customFormat="false" ht="15.75" hidden="false" customHeight="true" outlineLevel="0" collapsed="false">
      <c r="C413" s="93"/>
    </row>
    <row r="414" customFormat="false" ht="15.75" hidden="false" customHeight="true" outlineLevel="0" collapsed="false">
      <c r="C414" s="93"/>
    </row>
    <row r="415" customFormat="false" ht="15.75" hidden="false" customHeight="true" outlineLevel="0" collapsed="false">
      <c r="C415" s="93"/>
    </row>
    <row r="416" customFormat="false" ht="15.75" hidden="false" customHeight="true" outlineLevel="0" collapsed="false">
      <c r="C416" s="93"/>
    </row>
    <row r="417" customFormat="false" ht="15.75" hidden="false" customHeight="true" outlineLevel="0" collapsed="false">
      <c r="C417" s="93"/>
    </row>
    <row r="418" customFormat="false" ht="15.75" hidden="false" customHeight="true" outlineLevel="0" collapsed="false">
      <c r="C418" s="93"/>
    </row>
    <row r="419" customFormat="false" ht="15.75" hidden="false" customHeight="true" outlineLevel="0" collapsed="false">
      <c r="C419" s="93"/>
    </row>
    <row r="420" customFormat="false" ht="15.75" hidden="false" customHeight="true" outlineLevel="0" collapsed="false">
      <c r="C420" s="93"/>
    </row>
    <row r="421" customFormat="false" ht="15.75" hidden="false" customHeight="true" outlineLevel="0" collapsed="false">
      <c r="C421" s="93"/>
    </row>
    <row r="422" customFormat="false" ht="15.75" hidden="false" customHeight="true" outlineLevel="0" collapsed="false">
      <c r="C422" s="93"/>
    </row>
    <row r="423" customFormat="false" ht="15.75" hidden="false" customHeight="true" outlineLevel="0" collapsed="false">
      <c r="C423" s="93"/>
    </row>
    <row r="424" customFormat="false" ht="15.75" hidden="false" customHeight="true" outlineLevel="0" collapsed="false">
      <c r="C424" s="93"/>
    </row>
    <row r="425" customFormat="false" ht="15.75" hidden="false" customHeight="true" outlineLevel="0" collapsed="false">
      <c r="C425" s="93"/>
    </row>
    <row r="426" customFormat="false" ht="15.75" hidden="false" customHeight="true" outlineLevel="0" collapsed="false">
      <c r="C426" s="93"/>
    </row>
    <row r="427" customFormat="false" ht="15.75" hidden="false" customHeight="true" outlineLevel="0" collapsed="false">
      <c r="C427" s="93"/>
    </row>
    <row r="428" customFormat="false" ht="15.75" hidden="false" customHeight="true" outlineLevel="0" collapsed="false">
      <c r="C428" s="93"/>
    </row>
    <row r="429" customFormat="false" ht="15.75" hidden="false" customHeight="true" outlineLevel="0" collapsed="false">
      <c r="C429" s="93"/>
    </row>
    <row r="430" customFormat="false" ht="15.75" hidden="false" customHeight="true" outlineLevel="0" collapsed="false">
      <c r="C430" s="93"/>
    </row>
    <row r="431" customFormat="false" ht="15.75" hidden="false" customHeight="true" outlineLevel="0" collapsed="false">
      <c r="C431" s="93"/>
    </row>
    <row r="432" customFormat="false" ht="15.75" hidden="false" customHeight="true" outlineLevel="0" collapsed="false">
      <c r="C432" s="93"/>
    </row>
    <row r="433" customFormat="false" ht="15.75" hidden="false" customHeight="true" outlineLevel="0" collapsed="false">
      <c r="C433" s="93"/>
    </row>
    <row r="434" customFormat="false" ht="15.75" hidden="false" customHeight="true" outlineLevel="0" collapsed="false">
      <c r="C434" s="93"/>
    </row>
    <row r="435" customFormat="false" ht="15.75" hidden="false" customHeight="true" outlineLevel="0" collapsed="false">
      <c r="C435" s="93"/>
    </row>
    <row r="436" customFormat="false" ht="15.75" hidden="false" customHeight="true" outlineLevel="0" collapsed="false">
      <c r="C436" s="93"/>
    </row>
    <row r="437" customFormat="false" ht="15.75" hidden="false" customHeight="true" outlineLevel="0" collapsed="false">
      <c r="C437" s="93"/>
    </row>
    <row r="438" customFormat="false" ht="15.75" hidden="false" customHeight="true" outlineLevel="0" collapsed="false">
      <c r="C438" s="93"/>
    </row>
    <row r="439" customFormat="false" ht="15.75" hidden="false" customHeight="true" outlineLevel="0" collapsed="false">
      <c r="C439" s="93"/>
    </row>
    <row r="440" customFormat="false" ht="15.75" hidden="false" customHeight="true" outlineLevel="0" collapsed="false">
      <c r="C440" s="93"/>
    </row>
    <row r="441" customFormat="false" ht="15.75" hidden="false" customHeight="true" outlineLevel="0" collapsed="false">
      <c r="C441" s="93"/>
    </row>
    <row r="442" customFormat="false" ht="15.75" hidden="false" customHeight="true" outlineLevel="0" collapsed="false">
      <c r="C442" s="93"/>
    </row>
    <row r="443" customFormat="false" ht="15.75" hidden="false" customHeight="true" outlineLevel="0" collapsed="false">
      <c r="C443" s="93"/>
    </row>
    <row r="444" customFormat="false" ht="15.75" hidden="false" customHeight="true" outlineLevel="0" collapsed="false">
      <c r="C444" s="93"/>
    </row>
    <row r="445" customFormat="false" ht="15.75" hidden="false" customHeight="true" outlineLevel="0" collapsed="false">
      <c r="C445" s="93"/>
    </row>
    <row r="446" customFormat="false" ht="15.75" hidden="false" customHeight="true" outlineLevel="0" collapsed="false">
      <c r="C446" s="93"/>
    </row>
    <row r="447" customFormat="false" ht="15.75" hidden="false" customHeight="true" outlineLevel="0" collapsed="false">
      <c r="C447" s="93"/>
    </row>
    <row r="448" customFormat="false" ht="15.75" hidden="false" customHeight="true" outlineLevel="0" collapsed="false">
      <c r="C448" s="93"/>
    </row>
    <row r="449" customFormat="false" ht="15.75" hidden="false" customHeight="true" outlineLevel="0" collapsed="false">
      <c r="C449" s="93"/>
    </row>
    <row r="450" customFormat="false" ht="15.75" hidden="false" customHeight="true" outlineLevel="0" collapsed="false">
      <c r="C450" s="93"/>
    </row>
    <row r="451" customFormat="false" ht="15.75" hidden="false" customHeight="true" outlineLevel="0" collapsed="false">
      <c r="C451" s="93"/>
    </row>
    <row r="452" customFormat="false" ht="15.75" hidden="false" customHeight="true" outlineLevel="0" collapsed="false">
      <c r="C452" s="93"/>
    </row>
    <row r="453" customFormat="false" ht="15.75" hidden="false" customHeight="true" outlineLevel="0" collapsed="false">
      <c r="C453" s="93"/>
    </row>
    <row r="454" customFormat="false" ht="15.75" hidden="false" customHeight="true" outlineLevel="0" collapsed="false">
      <c r="C454" s="93"/>
    </row>
    <row r="455" customFormat="false" ht="15.75" hidden="false" customHeight="true" outlineLevel="0" collapsed="false">
      <c r="C455" s="93"/>
    </row>
    <row r="456" customFormat="false" ht="15.75" hidden="false" customHeight="true" outlineLevel="0" collapsed="false">
      <c r="C456" s="93"/>
    </row>
    <row r="457" customFormat="false" ht="15.75" hidden="false" customHeight="true" outlineLevel="0" collapsed="false">
      <c r="C457" s="93"/>
    </row>
    <row r="458" customFormat="false" ht="15.75" hidden="false" customHeight="true" outlineLevel="0" collapsed="false">
      <c r="C458" s="93"/>
    </row>
    <row r="459" customFormat="false" ht="15.75" hidden="false" customHeight="true" outlineLevel="0" collapsed="false">
      <c r="C459" s="93"/>
    </row>
    <row r="460" customFormat="false" ht="15.75" hidden="false" customHeight="true" outlineLevel="0" collapsed="false">
      <c r="C460" s="93"/>
    </row>
    <row r="461" customFormat="false" ht="15.75" hidden="false" customHeight="true" outlineLevel="0" collapsed="false">
      <c r="C461" s="93"/>
    </row>
    <row r="462" customFormat="false" ht="15.75" hidden="false" customHeight="true" outlineLevel="0" collapsed="false">
      <c r="C462" s="93"/>
    </row>
    <row r="463" customFormat="false" ht="15.75" hidden="false" customHeight="true" outlineLevel="0" collapsed="false">
      <c r="C463" s="93"/>
    </row>
    <row r="464" customFormat="false" ht="15.75" hidden="false" customHeight="true" outlineLevel="0" collapsed="false">
      <c r="C464" s="93"/>
    </row>
    <row r="465" customFormat="false" ht="15.75" hidden="false" customHeight="true" outlineLevel="0" collapsed="false">
      <c r="C465" s="93"/>
    </row>
    <row r="466" customFormat="false" ht="15.75" hidden="false" customHeight="true" outlineLevel="0" collapsed="false">
      <c r="C466" s="93"/>
    </row>
    <row r="467" customFormat="false" ht="15.75" hidden="false" customHeight="true" outlineLevel="0" collapsed="false">
      <c r="C467" s="93"/>
    </row>
    <row r="468" customFormat="false" ht="15.75" hidden="false" customHeight="true" outlineLevel="0" collapsed="false">
      <c r="C468" s="93"/>
    </row>
    <row r="469" customFormat="false" ht="15.75" hidden="false" customHeight="true" outlineLevel="0" collapsed="false">
      <c r="C469" s="93"/>
    </row>
    <row r="470" customFormat="false" ht="15.75" hidden="false" customHeight="true" outlineLevel="0" collapsed="false">
      <c r="C470" s="93"/>
    </row>
    <row r="471" customFormat="false" ht="15.75" hidden="false" customHeight="true" outlineLevel="0" collapsed="false">
      <c r="C471" s="93"/>
    </row>
    <row r="472" customFormat="false" ht="15.75" hidden="false" customHeight="true" outlineLevel="0" collapsed="false">
      <c r="C472" s="93"/>
    </row>
    <row r="473" customFormat="false" ht="15.75" hidden="false" customHeight="true" outlineLevel="0" collapsed="false">
      <c r="C473" s="93"/>
    </row>
    <row r="474" customFormat="false" ht="15.75" hidden="false" customHeight="true" outlineLevel="0" collapsed="false">
      <c r="C474" s="93"/>
    </row>
    <row r="475" customFormat="false" ht="15.75" hidden="false" customHeight="true" outlineLevel="0" collapsed="false">
      <c r="C475" s="93"/>
    </row>
    <row r="476" customFormat="false" ht="15.75" hidden="false" customHeight="true" outlineLevel="0" collapsed="false">
      <c r="C476" s="93"/>
    </row>
    <row r="477" customFormat="false" ht="15.75" hidden="false" customHeight="true" outlineLevel="0" collapsed="false">
      <c r="C477" s="93"/>
    </row>
    <row r="478" customFormat="false" ht="15.75" hidden="false" customHeight="true" outlineLevel="0" collapsed="false">
      <c r="C478" s="93"/>
    </row>
    <row r="479" customFormat="false" ht="15.75" hidden="false" customHeight="true" outlineLevel="0" collapsed="false">
      <c r="C479" s="93"/>
    </row>
    <row r="480" customFormat="false" ht="15.75" hidden="false" customHeight="true" outlineLevel="0" collapsed="false">
      <c r="C480" s="93"/>
    </row>
    <row r="481" customFormat="false" ht="15.75" hidden="false" customHeight="true" outlineLevel="0" collapsed="false">
      <c r="C481" s="93"/>
    </row>
    <row r="482" customFormat="false" ht="15.75" hidden="false" customHeight="true" outlineLevel="0" collapsed="false">
      <c r="C482" s="93"/>
    </row>
    <row r="483" customFormat="false" ht="15.75" hidden="false" customHeight="true" outlineLevel="0" collapsed="false">
      <c r="C483" s="93"/>
    </row>
    <row r="484" customFormat="false" ht="15.75" hidden="false" customHeight="true" outlineLevel="0" collapsed="false">
      <c r="C484" s="93"/>
    </row>
    <row r="485" customFormat="false" ht="15.75" hidden="false" customHeight="true" outlineLevel="0" collapsed="false">
      <c r="C485" s="93"/>
    </row>
    <row r="486" customFormat="false" ht="15.75" hidden="false" customHeight="true" outlineLevel="0" collapsed="false">
      <c r="C486" s="93"/>
    </row>
    <row r="487" customFormat="false" ht="15.75" hidden="false" customHeight="true" outlineLevel="0" collapsed="false">
      <c r="C487" s="93"/>
    </row>
    <row r="488" customFormat="false" ht="15.75" hidden="false" customHeight="true" outlineLevel="0" collapsed="false">
      <c r="C488" s="93"/>
    </row>
    <row r="489" customFormat="false" ht="15.75" hidden="false" customHeight="true" outlineLevel="0" collapsed="false">
      <c r="C489" s="93"/>
    </row>
    <row r="490" customFormat="false" ht="15.75" hidden="false" customHeight="true" outlineLevel="0" collapsed="false">
      <c r="C490" s="93"/>
    </row>
    <row r="491" customFormat="false" ht="15.75" hidden="false" customHeight="true" outlineLevel="0" collapsed="false">
      <c r="C491" s="93"/>
    </row>
    <row r="492" customFormat="false" ht="15.75" hidden="false" customHeight="true" outlineLevel="0" collapsed="false">
      <c r="C492" s="93"/>
    </row>
    <row r="493" customFormat="false" ht="15.75" hidden="false" customHeight="true" outlineLevel="0" collapsed="false">
      <c r="C493" s="93"/>
    </row>
    <row r="494" customFormat="false" ht="15.75" hidden="false" customHeight="true" outlineLevel="0" collapsed="false">
      <c r="C494" s="93"/>
    </row>
    <row r="495" customFormat="false" ht="15.75" hidden="false" customHeight="true" outlineLevel="0" collapsed="false">
      <c r="C495" s="93"/>
    </row>
    <row r="496" customFormat="false" ht="15.75" hidden="false" customHeight="true" outlineLevel="0" collapsed="false">
      <c r="C496" s="93"/>
    </row>
    <row r="497" customFormat="false" ht="15.75" hidden="false" customHeight="true" outlineLevel="0" collapsed="false">
      <c r="C497" s="93"/>
    </row>
    <row r="498" customFormat="false" ht="15.75" hidden="false" customHeight="true" outlineLevel="0" collapsed="false">
      <c r="C498" s="93"/>
    </row>
    <row r="499" customFormat="false" ht="15.75" hidden="false" customHeight="true" outlineLevel="0" collapsed="false">
      <c r="C499" s="93"/>
    </row>
    <row r="500" customFormat="false" ht="15.75" hidden="false" customHeight="true" outlineLevel="0" collapsed="false">
      <c r="C500" s="93"/>
    </row>
    <row r="501" customFormat="false" ht="15.75" hidden="false" customHeight="true" outlineLevel="0" collapsed="false">
      <c r="C501" s="93"/>
    </row>
    <row r="502" customFormat="false" ht="15.75" hidden="false" customHeight="true" outlineLevel="0" collapsed="false">
      <c r="C502" s="93"/>
    </row>
    <row r="503" customFormat="false" ht="15.75" hidden="false" customHeight="true" outlineLevel="0" collapsed="false">
      <c r="C503" s="93"/>
    </row>
    <row r="504" customFormat="false" ht="15.75" hidden="false" customHeight="true" outlineLevel="0" collapsed="false">
      <c r="C504" s="93"/>
    </row>
    <row r="505" customFormat="false" ht="15.75" hidden="false" customHeight="true" outlineLevel="0" collapsed="false">
      <c r="C505" s="93"/>
    </row>
    <row r="506" customFormat="false" ht="15.75" hidden="false" customHeight="true" outlineLevel="0" collapsed="false">
      <c r="C506" s="93"/>
    </row>
    <row r="507" customFormat="false" ht="15.75" hidden="false" customHeight="true" outlineLevel="0" collapsed="false">
      <c r="C507" s="93"/>
    </row>
    <row r="508" customFormat="false" ht="15.75" hidden="false" customHeight="true" outlineLevel="0" collapsed="false">
      <c r="C508" s="93"/>
    </row>
    <row r="509" customFormat="false" ht="15.75" hidden="false" customHeight="true" outlineLevel="0" collapsed="false">
      <c r="C509" s="93"/>
    </row>
    <row r="510" customFormat="false" ht="15.75" hidden="false" customHeight="true" outlineLevel="0" collapsed="false">
      <c r="C510" s="93"/>
    </row>
    <row r="511" customFormat="false" ht="15.75" hidden="false" customHeight="true" outlineLevel="0" collapsed="false">
      <c r="C511" s="93"/>
    </row>
    <row r="512" customFormat="false" ht="15.75" hidden="false" customHeight="true" outlineLevel="0" collapsed="false">
      <c r="C512" s="93"/>
    </row>
    <row r="513" customFormat="false" ht="15.75" hidden="false" customHeight="true" outlineLevel="0" collapsed="false">
      <c r="C513" s="93"/>
    </row>
    <row r="514" customFormat="false" ht="15.75" hidden="false" customHeight="true" outlineLevel="0" collapsed="false">
      <c r="C514" s="93"/>
    </row>
    <row r="515" customFormat="false" ht="15.75" hidden="false" customHeight="true" outlineLevel="0" collapsed="false">
      <c r="C515" s="93"/>
    </row>
    <row r="516" customFormat="false" ht="15.75" hidden="false" customHeight="true" outlineLevel="0" collapsed="false">
      <c r="C516" s="93"/>
    </row>
    <row r="517" customFormat="false" ht="15.75" hidden="false" customHeight="true" outlineLevel="0" collapsed="false">
      <c r="C517" s="93"/>
    </row>
    <row r="518" customFormat="false" ht="15.75" hidden="false" customHeight="true" outlineLevel="0" collapsed="false">
      <c r="C518" s="93"/>
    </row>
    <row r="519" customFormat="false" ht="15.75" hidden="false" customHeight="true" outlineLevel="0" collapsed="false">
      <c r="C519" s="93"/>
    </row>
    <row r="520" customFormat="false" ht="15.75" hidden="false" customHeight="true" outlineLevel="0" collapsed="false">
      <c r="C520" s="93"/>
    </row>
    <row r="521" customFormat="false" ht="15.75" hidden="false" customHeight="true" outlineLevel="0" collapsed="false">
      <c r="C521" s="93"/>
    </row>
    <row r="522" customFormat="false" ht="15.75" hidden="false" customHeight="true" outlineLevel="0" collapsed="false">
      <c r="C522" s="93"/>
    </row>
    <row r="523" customFormat="false" ht="15.75" hidden="false" customHeight="true" outlineLevel="0" collapsed="false">
      <c r="C523" s="93"/>
    </row>
    <row r="524" customFormat="false" ht="15.75" hidden="false" customHeight="true" outlineLevel="0" collapsed="false">
      <c r="C524" s="93"/>
    </row>
    <row r="525" customFormat="false" ht="15.75" hidden="false" customHeight="true" outlineLevel="0" collapsed="false">
      <c r="C525" s="93"/>
    </row>
    <row r="526" customFormat="false" ht="15.75" hidden="false" customHeight="true" outlineLevel="0" collapsed="false">
      <c r="C526" s="93"/>
    </row>
    <row r="527" customFormat="false" ht="15.75" hidden="false" customHeight="true" outlineLevel="0" collapsed="false">
      <c r="C527" s="93"/>
    </row>
    <row r="528" customFormat="false" ht="15.75" hidden="false" customHeight="true" outlineLevel="0" collapsed="false">
      <c r="C528" s="93"/>
    </row>
    <row r="529" customFormat="false" ht="15.75" hidden="false" customHeight="true" outlineLevel="0" collapsed="false">
      <c r="C529" s="93"/>
    </row>
    <row r="530" customFormat="false" ht="15.75" hidden="false" customHeight="true" outlineLevel="0" collapsed="false">
      <c r="C530" s="93"/>
    </row>
    <row r="531" customFormat="false" ht="15.75" hidden="false" customHeight="true" outlineLevel="0" collapsed="false">
      <c r="C531" s="93"/>
    </row>
    <row r="532" customFormat="false" ht="15.75" hidden="false" customHeight="true" outlineLevel="0" collapsed="false">
      <c r="C532" s="93"/>
    </row>
    <row r="533" customFormat="false" ht="15.75" hidden="false" customHeight="true" outlineLevel="0" collapsed="false">
      <c r="C533" s="93"/>
    </row>
    <row r="534" customFormat="false" ht="15.75" hidden="false" customHeight="true" outlineLevel="0" collapsed="false">
      <c r="C534" s="93"/>
    </row>
    <row r="535" customFormat="false" ht="15.75" hidden="false" customHeight="true" outlineLevel="0" collapsed="false">
      <c r="C535" s="93"/>
    </row>
    <row r="536" customFormat="false" ht="15.75" hidden="false" customHeight="true" outlineLevel="0" collapsed="false">
      <c r="C536" s="93"/>
    </row>
    <row r="537" customFormat="false" ht="15.75" hidden="false" customHeight="true" outlineLevel="0" collapsed="false">
      <c r="C537" s="93"/>
    </row>
    <row r="538" customFormat="false" ht="15.75" hidden="false" customHeight="true" outlineLevel="0" collapsed="false">
      <c r="C538" s="93"/>
    </row>
    <row r="539" customFormat="false" ht="15.75" hidden="false" customHeight="true" outlineLevel="0" collapsed="false">
      <c r="C539" s="93"/>
    </row>
    <row r="540" customFormat="false" ht="15.75" hidden="false" customHeight="true" outlineLevel="0" collapsed="false">
      <c r="C540" s="93"/>
    </row>
    <row r="541" customFormat="false" ht="15.75" hidden="false" customHeight="true" outlineLevel="0" collapsed="false">
      <c r="C541" s="93"/>
    </row>
    <row r="542" customFormat="false" ht="15.75" hidden="false" customHeight="true" outlineLevel="0" collapsed="false">
      <c r="C542" s="93"/>
    </row>
    <row r="543" customFormat="false" ht="15.75" hidden="false" customHeight="true" outlineLevel="0" collapsed="false">
      <c r="C543" s="93"/>
    </row>
    <row r="544" customFormat="false" ht="15.75" hidden="false" customHeight="true" outlineLevel="0" collapsed="false">
      <c r="C544" s="93"/>
    </row>
    <row r="545" customFormat="false" ht="15.75" hidden="false" customHeight="true" outlineLevel="0" collapsed="false">
      <c r="C545" s="93"/>
    </row>
    <row r="546" customFormat="false" ht="15.75" hidden="false" customHeight="true" outlineLevel="0" collapsed="false">
      <c r="C546" s="93"/>
    </row>
    <row r="547" customFormat="false" ht="15.75" hidden="false" customHeight="true" outlineLevel="0" collapsed="false">
      <c r="C547" s="93"/>
    </row>
    <row r="548" customFormat="false" ht="15.75" hidden="false" customHeight="true" outlineLevel="0" collapsed="false">
      <c r="C548" s="93"/>
    </row>
    <row r="549" customFormat="false" ht="15.75" hidden="false" customHeight="true" outlineLevel="0" collapsed="false">
      <c r="C549" s="93"/>
    </row>
    <row r="550" customFormat="false" ht="15.75" hidden="false" customHeight="true" outlineLevel="0" collapsed="false">
      <c r="C550" s="93"/>
    </row>
    <row r="551" customFormat="false" ht="15.75" hidden="false" customHeight="true" outlineLevel="0" collapsed="false">
      <c r="C551" s="93"/>
    </row>
    <row r="552" customFormat="false" ht="15.75" hidden="false" customHeight="true" outlineLevel="0" collapsed="false">
      <c r="C552" s="93"/>
    </row>
    <row r="553" customFormat="false" ht="15.75" hidden="false" customHeight="true" outlineLevel="0" collapsed="false">
      <c r="C553" s="93"/>
    </row>
    <row r="554" customFormat="false" ht="15.75" hidden="false" customHeight="true" outlineLevel="0" collapsed="false">
      <c r="C554" s="93"/>
    </row>
    <row r="555" customFormat="false" ht="15.75" hidden="false" customHeight="true" outlineLevel="0" collapsed="false">
      <c r="C555" s="93"/>
    </row>
    <row r="556" customFormat="false" ht="15.75" hidden="false" customHeight="true" outlineLevel="0" collapsed="false">
      <c r="C556" s="93"/>
    </row>
    <row r="557" customFormat="false" ht="15.75" hidden="false" customHeight="true" outlineLevel="0" collapsed="false">
      <c r="C557" s="93"/>
    </row>
    <row r="558" customFormat="false" ht="15.75" hidden="false" customHeight="true" outlineLevel="0" collapsed="false">
      <c r="C558" s="93"/>
    </row>
    <row r="559" customFormat="false" ht="15.75" hidden="false" customHeight="true" outlineLevel="0" collapsed="false">
      <c r="C559" s="93"/>
    </row>
    <row r="560" customFormat="false" ht="15.75" hidden="false" customHeight="true" outlineLevel="0" collapsed="false">
      <c r="C560" s="93"/>
    </row>
    <row r="561" customFormat="false" ht="15.75" hidden="false" customHeight="true" outlineLevel="0" collapsed="false">
      <c r="C561" s="93"/>
    </row>
    <row r="562" customFormat="false" ht="15.75" hidden="false" customHeight="true" outlineLevel="0" collapsed="false">
      <c r="C562" s="93"/>
    </row>
    <row r="563" customFormat="false" ht="15.75" hidden="false" customHeight="true" outlineLevel="0" collapsed="false">
      <c r="C563" s="93"/>
    </row>
    <row r="564" customFormat="false" ht="15.75" hidden="false" customHeight="true" outlineLevel="0" collapsed="false">
      <c r="C564" s="93"/>
    </row>
    <row r="565" customFormat="false" ht="15.75" hidden="false" customHeight="true" outlineLevel="0" collapsed="false">
      <c r="C565" s="93"/>
    </row>
    <row r="566" customFormat="false" ht="15.75" hidden="false" customHeight="true" outlineLevel="0" collapsed="false">
      <c r="C566" s="93"/>
    </row>
    <row r="567" customFormat="false" ht="15.75" hidden="false" customHeight="true" outlineLevel="0" collapsed="false">
      <c r="C567" s="93"/>
    </row>
    <row r="568" customFormat="false" ht="15.75" hidden="false" customHeight="true" outlineLevel="0" collapsed="false">
      <c r="C568" s="93"/>
    </row>
    <row r="569" customFormat="false" ht="15.75" hidden="false" customHeight="true" outlineLevel="0" collapsed="false">
      <c r="C569" s="93"/>
    </row>
    <row r="570" customFormat="false" ht="15.75" hidden="false" customHeight="true" outlineLevel="0" collapsed="false">
      <c r="C570" s="93"/>
    </row>
    <row r="571" customFormat="false" ht="15.75" hidden="false" customHeight="true" outlineLevel="0" collapsed="false">
      <c r="C571" s="93"/>
    </row>
    <row r="572" customFormat="false" ht="15.75" hidden="false" customHeight="true" outlineLevel="0" collapsed="false">
      <c r="C572" s="93"/>
    </row>
    <row r="573" customFormat="false" ht="15.75" hidden="false" customHeight="true" outlineLevel="0" collapsed="false">
      <c r="C573" s="93"/>
    </row>
    <row r="574" customFormat="false" ht="15.75" hidden="false" customHeight="true" outlineLevel="0" collapsed="false">
      <c r="C574" s="93"/>
    </row>
    <row r="575" customFormat="false" ht="15.75" hidden="false" customHeight="true" outlineLevel="0" collapsed="false">
      <c r="C575" s="93"/>
    </row>
    <row r="576" customFormat="false" ht="15.75" hidden="false" customHeight="true" outlineLevel="0" collapsed="false">
      <c r="C576" s="93"/>
    </row>
    <row r="577" customFormat="false" ht="15.75" hidden="false" customHeight="true" outlineLevel="0" collapsed="false">
      <c r="C577" s="93"/>
    </row>
    <row r="578" customFormat="false" ht="15.75" hidden="false" customHeight="true" outlineLevel="0" collapsed="false">
      <c r="C578" s="93"/>
    </row>
    <row r="579" customFormat="false" ht="15.75" hidden="false" customHeight="true" outlineLevel="0" collapsed="false">
      <c r="C579" s="93"/>
    </row>
    <row r="580" customFormat="false" ht="15.75" hidden="false" customHeight="true" outlineLevel="0" collapsed="false">
      <c r="C580" s="93"/>
    </row>
    <row r="581" customFormat="false" ht="15.75" hidden="false" customHeight="true" outlineLevel="0" collapsed="false">
      <c r="C581" s="93"/>
    </row>
    <row r="582" customFormat="false" ht="15.75" hidden="false" customHeight="true" outlineLevel="0" collapsed="false">
      <c r="C582" s="93"/>
    </row>
    <row r="583" customFormat="false" ht="15.75" hidden="false" customHeight="true" outlineLevel="0" collapsed="false">
      <c r="C583" s="93"/>
    </row>
    <row r="584" customFormat="false" ht="15.75" hidden="false" customHeight="true" outlineLevel="0" collapsed="false">
      <c r="C584" s="93"/>
    </row>
    <row r="585" customFormat="false" ht="15.75" hidden="false" customHeight="true" outlineLevel="0" collapsed="false">
      <c r="C585" s="93"/>
    </row>
    <row r="586" customFormat="false" ht="15.75" hidden="false" customHeight="true" outlineLevel="0" collapsed="false">
      <c r="C586" s="93"/>
    </row>
    <row r="587" customFormat="false" ht="15.75" hidden="false" customHeight="true" outlineLevel="0" collapsed="false">
      <c r="C587" s="93"/>
    </row>
    <row r="588" customFormat="false" ht="15.75" hidden="false" customHeight="true" outlineLevel="0" collapsed="false">
      <c r="C588" s="93"/>
    </row>
    <row r="589" customFormat="false" ht="15.75" hidden="false" customHeight="true" outlineLevel="0" collapsed="false">
      <c r="C589" s="93"/>
    </row>
    <row r="590" customFormat="false" ht="15.75" hidden="false" customHeight="true" outlineLevel="0" collapsed="false">
      <c r="C590" s="93"/>
    </row>
    <row r="591" customFormat="false" ht="15.75" hidden="false" customHeight="true" outlineLevel="0" collapsed="false">
      <c r="C591" s="93"/>
    </row>
    <row r="592" customFormat="false" ht="15.75" hidden="false" customHeight="true" outlineLevel="0" collapsed="false">
      <c r="C592" s="93"/>
    </row>
    <row r="593" customFormat="false" ht="15.75" hidden="false" customHeight="true" outlineLevel="0" collapsed="false">
      <c r="C593" s="93"/>
    </row>
    <row r="594" customFormat="false" ht="15.75" hidden="false" customHeight="true" outlineLevel="0" collapsed="false">
      <c r="C594" s="93"/>
    </row>
    <row r="595" customFormat="false" ht="15.75" hidden="false" customHeight="true" outlineLevel="0" collapsed="false">
      <c r="C595" s="93"/>
    </row>
    <row r="596" customFormat="false" ht="15.75" hidden="false" customHeight="true" outlineLevel="0" collapsed="false">
      <c r="C596" s="93"/>
    </row>
    <row r="597" customFormat="false" ht="15.75" hidden="false" customHeight="true" outlineLevel="0" collapsed="false">
      <c r="C597" s="93"/>
    </row>
    <row r="598" customFormat="false" ht="15.75" hidden="false" customHeight="true" outlineLevel="0" collapsed="false">
      <c r="C598" s="93"/>
    </row>
    <row r="599" customFormat="false" ht="15.75" hidden="false" customHeight="true" outlineLevel="0" collapsed="false">
      <c r="C599" s="93"/>
    </row>
    <row r="600" customFormat="false" ht="15.75" hidden="false" customHeight="true" outlineLevel="0" collapsed="false">
      <c r="C600" s="93"/>
    </row>
    <row r="601" customFormat="false" ht="15.75" hidden="false" customHeight="true" outlineLevel="0" collapsed="false">
      <c r="C601" s="93"/>
    </row>
    <row r="602" customFormat="false" ht="15.75" hidden="false" customHeight="true" outlineLevel="0" collapsed="false">
      <c r="C602" s="93"/>
    </row>
    <row r="603" customFormat="false" ht="15.75" hidden="false" customHeight="true" outlineLevel="0" collapsed="false">
      <c r="C603" s="93"/>
    </row>
    <row r="604" customFormat="false" ht="15.75" hidden="false" customHeight="true" outlineLevel="0" collapsed="false">
      <c r="C604" s="93"/>
    </row>
    <row r="605" customFormat="false" ht="15.75" hidden="false" customHeight="true" outlineLevel="0" collapsed="false">
      <c r="C605" s="93"/>
    </row>
    <row r="606" customFormat="false" ht="15.75" hidden="false" customHeight="true" outlineLevel="0" collapsed="false">
      <c r="C606" s="93"/>
    </row>
    <row r="607" customFormat="false" ht="15.75" hidden="false" customHeight="true" outlineLevel="0" collapsed="false">
      <c r="C607" s="93"/>
    </row>
    <row r="608" customFormat="false" ht="15.75" hidden="false" customHeight="true" outlineLevel="0" collapsed="false">
      <c r="C608" s="93"/>
    </row>
    <row r="609" customFormat="false" ht="15.75" hidden="false" customHeight="true" outlineLevel="0" collapsed="false">
      <c r="C609" s="93"/>
    </row>
    <row r="610" customFormat="false" ht="15.75" hidden="false" customHeight="true" outlineLevel="0" collapsed="false">
      <c r="C610" s="93"/>
    </row>
    <row r="611" customFormat="false" ht="15.75" hidden="false" customHeight="true" outlineLevel="0" collapsed="false">
      <c r="C611" s="93"/>
    </row>
    <row r="612" customFormat="false" ht="15.75" hidden="false" customHeight="true" outlineLevel="0" collapsed="false">
      <c r="C612" s="93"/>
    </row>
    <row r="613" customFormat="false" ht="15.75" hidden="false" customHeight="true" outlineLevel="0" collapsed="false">
      <c r="C613" s="93"/>
    </row>
    <row r="614" customFormat="false" ht="15.75" hidden="false" customHeight="true" outlineLevel="0" collapsed="false">
      <c r="C614" s="93"/>
    </row>
    <row r="615" customFormat="false" ht="15.75" hidden="false" customHeight="true" outlineLevel="0" collapsed="false">
      <c r="C615" s="93"/>
    </row>
    <row r="616" customFormat="false" ht="15.75" hidden="false" customHeight="true" outlineLevel="0" collapsed="false">
      <c r="C616" s="93"/>
    </row>
    <row r="617" customFormat="false" ht="15.75" hidden="false" customHeight="true" outlineLevel="0" collapsed="false">
      <c r="C617" s="93"/>
    </row>
    <row r="618" customFormat="false" ht="15.75" hidden="false" customHeight="true" outlineLevel="0" collapsed="false">
      <c r="C618" s="93"/>
    </row>
    <row r="619" customFormat="false" ht="15.75" hidden="false" customHeight="true" outlineLevel="0" collapsed="false">
      <c r="C619" s="93"/>
    </row>
    <row r="620" customFormat="false" ht="15.75" hidden="false" customHeight="true" outlineLevel="0" collapsed="false">
      <c r="C620" s="93"/>
    </row>
    <row r="621" customFormat="false" ht="15.75" hidden="false" customHeight="true" outlineLevel="0" collapsed="false">
      <c r="C621" s="93"/>
    </row>
    <row r="622" customFormat="false" ht="15.75" hidden="false" customHeight="true" outlineLevel="0" collapsed="false">
      <c r="C622" s="93"/>
    </row>
    <row r="623" customFormat="false" ht="15.75" hidden="false" customHeight="true" outlineLevel="0" collapsed="false">
      <c r="C623" s="93"/>
    </row>
    <row r="624" customFormat="false" ht="15.75" hidden="false" customHeight="true" outlineLevel="0" collapsed="false">
      <c r="C624" s="93"/>
    </row>
    <row r="625" customFormat="false" ht="15.75" hidden="false" customHeight="true" outlineLevel="0" collapsed="false">
      <c r="C625" s="93"/>
    </row>
    <row r="626" customFormat="false" ht="15.75" hidden="false" customHeight="true" outlineLevel="0" collapsed="false">
      <c r="C626" s="93"/>
    </row>
    <row r="627" customFormat="false" ht="15.75" hidden="false" customHeight="true" outlineLevel="0" collapsed="false">
      <c r="C627" s="93"/>
    </row>
    <row r="628" customFormat="false" ht="15.75" hidden="false" customHeight="true" outlineLevel="0" collapsed="false">
      <c r="C628" s="93"/>
    </row>
    <row r="629" customFormat="false" ht="15.75" hidden="false" customHeight="true" outlineLevel="0" collapsed="false">
      <c r="C629" s="93"/>
    </row>
    <row r="630" customFormat="false" ht="15.75" hidden="false" customHeight="true" outlineLevel="0" collapsed="false">
      <c r="C630" s="93"/>
    </row>
    <row r="631" customFormat="false" ht="15.75" hidden="false" customHeight="true" outlineLevel="0" collapsed="false">
      <c r="C631" s="93"/>
    </row>
    <row r="632" customFormat="false" ht="15.75" hidden="false" customHeight="true" outlineLevel="0" collapsed="false">
      <c r="C632" s="93"/>
    </row>
    <row r="633" customFormat="false" ht="15.75" hidden="false" customHeight="true" outlineLevel="0" collapsed="false">
      <c r="C633" s="93"/>
    </row>
    <row r="634" customFormat="false" ht="15.75" hidden="false" customHeight="true" outlineLevel="0" collapsed="false">
      <c r="C634" s="93"/>
    </row>
    <row r="635" customFormat="false" ht="15.75" hidden="false" customHeight="true" outlineLevel="0" collapsed="false">
      <c r="C635" s="93"/>
    </row>
    <row r="636" customFormat="false" ht="15.75" hidden="false" customHeight="true" outlineLevel="0" collapsed="false">
      <c r="C636" s="93"/>
    </row>
    <row r="637" customFormat="false" ht="15.75" hidden="false" customHeight="true" outlineLevel="0" collapsed="false">
      <c r="C637" s="93"/>
    </row>
    <row r="638" customFormat="false" ht="15.75" hidden="false" customHeight="true" outlineLevel="0" collapsed="false">
      <c r="C638" s="93"/>
    </row>
    <row r="639" customFormat="false" ht="15.75" hidden="false" customHeight="true" outlineLevel="0" collapsed="false">
      <c r="C639" s="93"/>
    </row>
    <row r="640" customFormat="false" ht="15.75" hidden="false" customHeight="true" outlineLevel="0" collapsed="false">
      <c r="C640" s="93"/>
    </row>
    <row r="641" customFormat="false" ht="15.75" hidden="false" customHeight="true" outlineLevel="0" collapsed="false">
      <c r="C641" s="93"/>
    </row>
    <row r="642" customFormat="false" ht="15.75" hidden="false" customHeight="true" outlineLevel="0" collapsed="false">
      <c r="C642" s="93"/>
    </row>
    <row r="643" customFormat="false" ht="15.75" hidden="false" customHeight="true" outlineLevel="0" collapsed="false">
      <c r="C643" s="93"/>
    </row>
    <row r="644" customFormat="false" ht="15.75" hidden="false" customHeight="true" outlineLevel="0" collapsed="false">
      <c r="C644" s="93"/>
    </row>
    <row r="645" customFormat="false" ht="15.75" hidden="false" customHeight="true" outlineLevel="0" collapsed="false">
      <c r="C645" s="93"/>
    </row>
    <row r="646" customFormat="false" ht="15.75" hidden="false" customHeight="true" outlineLevel="0" collapsed="false">
      <c r="C646" s="93"/>
    </row>
    <row r="647" customFormat="false" ht="15.75" hidden="false" customHeight="true" outlineLevel="0" collapsed="false">
      <c r="C647" s="93"/>
    </row>
    <row r="648" customFormat="false" ht="15.75" hidden="false" customHeight="true" outlineLevel="0" collapsed="false">
      <c r="C648" s="93"/>
    </row>
    <row r="649" customFormat="false" ht="15.75" hidden="false" customHeight="true" outlineLevel="0" collapsed="false">
      <c r="C649" s="93"/>
    </row>
    <row r="650" customFormat="false" ht="15.75" hidden="false" customHeight="true" outlineLevel="0" collapsed="false">
      <c r="C650" s="93"/>
    </row>
    <row r="651" customFormat="false" ht="15.75" hidden="false" customHeight="true" outlineLevel="0" collapsed="false">
      <c r="C651" s="93"/>
    </row>
    <row r="652" customFormat="false" ht="15.75" hidden="false" customHeight="true" outlineLevel="0" collapsed="false">
      <c r="C652" s="93"/>
    </row>
    <row r="653" customFormat="false" ht="15.75" hidden="false" customHeight="true" outlineLevel="0" collapsed="false">
      <c r="C653" s="93"/>
    </row>
    <row r="654" customFormat="false" ht="15.75" hidden="false" customHeight="true" outlineLevel="0" collapsed="false">
      <c r="C654" s="93"/>
    </row>
    <row r="655" customFormat="false" ht="15.75" hidden="false" customHeight="true" outlineLevel="0" collapsed="false">
      <c r="C655" s="93"/>
    </row>
    <row r="656" customFormat="false" ht="15.75" hidden="false" customHeight="true" outlineLevel="0" collapsed="false">
      <c r="C656" s="93"/>
    </row>
    <row r="657" customFormat="false" ht="15.75" hidden="false" customHeight="true" outlineLevel="0" collapsed="false">
      <c r="C657" s="93"/>
    </row>
    <row r="658" customFormat="false" ht="15.75" hidden="false" customHeight="true" outlineLevel="0" collapsed="false">
      <c r="C658" s="93"/>
    </row>
    <row r="659" customFormat="false" ht="15.75" hidden="false" customHeight="true" outlineLevel="0" collapsed="false">
      <c r="C659" s="93"/>
    </row>
    <row r="660" customFormat="false" ht="15.75" hidden="false" customHeight="true" outlineLevel="0" collapsed="false">
      <c r="C660" s="93"/>
    </row>
    <row r="661" customFormat="false" ht="15.75" hidden="false" customHeight="true" outlineLevel="0" collapsed="false">
      <c r="C661" s="93"/>
    </row>
    <row r="662" customFormat="false" ht="15.75" hidden="false" customHeight="true" outlineLevel="0" collapsed="false">
      <c r="C662" s="93"/>
    </row>
    <row r="663" customFormat="false" ht="15.75" hidden="false" customHeight="true" outlineLevel="0" collapsed="false">
      <c r="C663" s="93"/>
    </row>
    <row r="664" customFormat="false" ht="15.75" hidden="false" customHeight="true" outlineLevel="0" collapsed="false">
      <c r="C664" s="93"/>
    </row>
    <row r="665" customFormat="false" ht="15.75" hidden="false" customHeight="true" outlineLevel="0" collapsed="false">
      <c r="C665" s="93"/>
    </row>
    <row r="666" customFormat="false" ht="15.75" hidden="false" customHeight="true" outlineLevel="0" collapsed="false">
      <c r="C666" s="93"/>
    </row>
    <row r="667" customFormat="false" ht="15.75" hidden="false" customHeight="true" outlineLevel="0" collapsed="false">
      <c r="C667" s="93"/>
    </row>
    <row r="668" customFormat="false" ht="15.75" hidden="false" customHeight="true" outlineLevel="0" collapsed="false">
      <c r="C668" s="93"/>
    </row>
    <row r="669" customFormat="false" ht="15.75" hidden="false" customHeight="true" outlineLevel="0" collapsed="false">
      <c r="C669" s="93"/>
    </row>
    <row r="670" customFormat="false" ht="15.75" hidden="false" customHeight="true" outlineLevel="0" collapsed="false">
      <c r="C670" s="93"/>
    </row>
    <row r="671" customFormat="false" ht="15.75" hidden="false" customHeight="true" outlineLevel="0" collapsed="false">
      <c r="C671" s="93"/>
    </row>
    <row r="672" customFormat="false" ht="15.75" hidden="false" customHeight="true" outlineLevel="0" collapsed="false">
      <c r="C672" s="93"/>
    </row>
    <row r="673" customFormat="false" ht="15.75" hidden="false" customHeight="true" outlineLevel="0" collapsed="false">
      <c r="C673" s="93"/>
    </row>
    <row r="674" customFormat="false" ht="15.75" hidden="false" customHeight="true" outlineLevel="0" collapsed="false">
      <c r="C674" s="93"/>
    </row>
    <row r="675" customFormat="false" ht="15.75" hidden="false" customHeight="true" outlineLevel="0" collapsed="false">
      <c r="C675" s="93"/>
    </row>
    <row r="676" customFormat="false" ht="15.75" hidden="false" customHeight="true" outlineLevel="0" collapsed="false">
      <c r="C676" s="93"/>
    </row>
    <row r="677" customFormat="false" ht="15.75" hidden="false" customHeight="true" outlineLevel="0" collapsed="false">
      <c r="C677" s="93"/>
    </row>
    <row r="678" customFormat="false" ht="15.75" hidden="false" customHeight="true" outlineLevel="0" collapsed="false">
      <c r="C678" s="93"/>
    </row>
    <row r="679" customFormat="false" ht="15.75" hidden="false" customHeight="true" outlineLevel="0" collapsed="false">
      <c r="C679" s="93"/>
    </row>
    <row r="680" customFormat="false" ht="15.75" hidden="false" customHeight="true" outlineLevel="0" collapsed="false">
      <c r="C680" s="93"/>
    </row>
    <row r="681" customFormat="false" ht="15.75" hidden="false" customHeight="true" outlineLevel="0" collapsed="false">
      <c r="C681" s="93"/>
    </row>
    <row r="682" customFormat="false" ht="15.75" hidden="false" customHeight="true" outlineLevel="0" collapsed="false">
      <c r="C682" s="93"/>
    </row>
    <row r="683" customFormat="false" ht="15.75" hidden="false" customHeight="true" outlineLevel="0" collapsed="false">
      <c r="C683" s="93"/>
    </row>
    <row r="684" customFormat="false" ht="15.75" hidden="false" customHeight="true" outlineLevel="0" collapsed="false">
      <c r="C684" s="93"/>
    </row>
    <row r="685" customFormat="false" ht="15.75" hidden="false" customHeight="true" outlineLevel="0" collapsed="false">
      <c r="C685" s="93"/>
    </row>
    <row r="686" customFormat="false" ht="15.75" hidden="false" customHeight="true" outlineLevel="0" collapsed="false">
      <c r="C686" s="93"/>
    </row>
    <row r="687" customFormat="false" ht="15.75" hidden="false" customHeight="true" outlineLevel="0" collapsed="false">
      <c r="C687" s="93"/>
    </row>
    <row r="688" customFormat="false" ht="15.75" hidden="false" customHeight="true" outlineLevel="0" collapsed="false">
      <c r="C688" s="93"/>
    </row>
    <row r="689" customFormat="false" ht="15.75" hidden="false" customHeight="true" outlineLevel="0" collapsed="false">
      <c r="C689" s="93"/>
    </row>
    <row r="690" customFormat="false" ht="15.75" hidden="false" customHeight="true" outlineLevel="0" collapsed="false">
      <c r="C690" s="93"/>
    </row>
    <row r="691" customFormat="false" ht="15.75" hidden="false" customHeight="true" outlineLevel="0" collapsed="false">
      <c r="C691" s="93"/>
    </row>
    <row r="692" customFormat="false" ht="15.75" hidden="false" customHeight="true" outlineLevel="0" collapsed="false">
      <c r="C692" s="93"/>
    </row>
    <row r="693" customFormat="false" ht="15.75" hidden="false" customHeight="true" outlineLevel="0" collapsed="false">
      <c r="C693" s="93"/>
    </row>
    <row r="694" customFormat="false" ht="15.75" hidden="false" customHeight="true" outlineLevel="0" collapsed="false">
      <c r="C694" s="93"/>
    </row>
    <row r="695" customFormat="false" ht="15.75" hidden="false" customHeight="true" outlineLevel="0" collapsed="false">
      <c r="C695" s="93"/>
    </row>
    <row r="696" customFormat="false" ht="15.75" hidden="false" customHeight="true" outlineLevel="0" collapsed="false">
      <c r="C696" s="93"/>
    </row>
    <row r="697" customFormat="false" ht="15.75" hidden="false" customHeight="true" outlineLevel="0" collapsed="false">
      <c r="C697" s="93"/>
    </row>
    <row r="698" customFormat="false" ht="15.75" hidden="false" customHeight="true" outlineLevel="0" collapsed="false">
      <c r="C698" s="93"/>
    </row>
    <row r="699" customFormat="false" ht="15.75" hidden="false" customHeight="true" outlineLevel="0" collapsed="false">
      <c r="C699" s="93"/>
    </row>
    <row r="700" customFormat="false" ht="15.75" hidden="false" customHeight="true" outlineLevel="0" collapsed="false">
      <c r="C700" s="93"/>
    </row>
    <row r="701" customFormat="false" ht="15.75" hidden="false" customHeight="true" outlineLevel="0" collapsed="false">
      <c r="C701" s="93"/>
    </row>
    <row r="702" customFormat="false" ht="15.75" hidden="false" customHeight="true" outlineLevel="0" collapsed="false">
      <c r="C702" s="93"/>
    </row>
    <row r="703" customFormat="false" ht="15.75" hidden="false" customHeight="true" outlineLevel="0" collapsed="false">
      <c r="C703" s="93"/>
    </row>
    <row r="704" customFormat="false" ht="15.75" hidden="false" customHeight="true" outlineLevel="0" collapsed="false">
      <c r="C704" s="93"/>
    </row>
    <row r="705" customFormat="false" ht="15.75" hidden="false" customHeight="true" outlineLevel="0" collapsed="false">
      <c r="C705" s="93"/>
    </row>
    <row r="706" customFormat="false" ht="15.75" hidden="false" customHeight="true" outlineLevel="0" collapsed="false">
      <c r="C706" s="93"/>
    </row>
    <row r="707" customFormat="false" ht="15.75" hidden="false" customHeight="true" outlineLevel="0" collapsed="false">
      <c r="C707" s="93"/>
    </row>
    <row r="708" customFormat="false" ht="15.75" hidden="false" customHeight="true" outlineLevel="0" collapsed="false">
      <c r="C708" s="93"/>
    </row>
    <row r="709" customFormat="false" ht="15.75" hidden="false" customHeight="true" outlineLevel="0" collapsed="false">
      <c r="C709" s="93"/>
    </row>
    <row r="710" customFormat="false" ht="15.75" hidden="false" customHeight="true" outlineLevel="0" collapsed="false">
      <c r="C710" s="93"/>
    </row>
    <row r="711" customFormat="false" ht="15.75" hidden="false" customHeight="true" outlineLevel="0" collapsed="false">
      <c r="C711" s="93"/>
    </row>
    <row r="712" customFormat="false" ht="15.75" hidden="false" customHeight="true" outlineLevel="0" collapsed="false">
      <c r="C712" s="93"/>
    </row>
    <row r="713" customFormat="false" ht="15.75" hidden="false" customHeight="true" outlineLevel="0" collapsed="false">
      <c r="C713" s="93"/>
    </row>
    <row r="714" customFormat="false" ht="15.75" hidden="false" customHeight="true" outlineLevel="0" collapsed="false">
      <c r="C714" s="93"/>
    </row>
    <row r="715" customFormat="false" ht="15.75" hidden="false" customHeight="true" outlineLevel="0" collapsed="false">
      <c r="C715" s="93"/>
    </row>
    <row r="716" customFormat="false" ht="15.75" hidden="false" customHeight="true" outlineLevel="0" collapsed="false">
      <c r="C716" s="93"/>
    </row>
    <row r="717" customFormat="false" ht="15.75" hidden="false" customHeight="true" outlineLevel="0" collapsed="false">
      <c r="C717" s="93"/>
    </row>
    <row r="718" customFormat="false" ht="15.75" hidden="false" customHeight="true" outlineLevel="0" collapsed="false">
      <c r="C718" s="93"/>
    </row>
    <row r="719" customFormat="false" ht="15.75" hidden="false" customHeight="true" outlineLevel="0" collapsed="false">
      <c r="C719" s="93"/>
    </row>
    <row r="720" customFormat="false" ht="15.75" hidden="false" customHeight="true" outlineLevel="0" collapsed="false">
      <c r="C720" s="93"/>
    </row>
    <row r="721" customFormat="false" ht="15.75" hidden="false" customHeight="true" outlineLevel="0" collapsed="false">
      <c r="C721" s="93"/>
    </row>
    <row r="722" customFormat="false" ht="15.75" hidden="false" customHeight="true" outlineLevel="0" collapsed="false">
      <c r="C722" s="93"/>
    </row>
    <row r="723" customFormat="false" ht="15.75" hidden="false" customHeight="true" outlineLevel="0" collapsed="false">
      <c r="C723" s="93"/>
    </row>
    <row r="724" customFormat="false" ht="15.75" hidden="false" customHeight="true" outlineLevel="0" collapsed="false">
      <c r="C724" s="93"/>
    </row>
    <row r="725" customFormat="false" ht="15.75" hidden="false" customHeight="true" outlineLevel="0" collapsed="false">
      <c r="C725" s="93"/>
    </row>
    <row r="726" customFormat="false" ht="15.75" hidden="false" customHeight="true" outlineLevel="0" collapsed="false">
      <c r="C726" s="93"/>
    </row>
    <row r="727" customFormat="false" ht="15.75" hidden="false" customHeight="true" outlineLevel="0" collapsed="false">
      <c r="C727" s="93"/>
    </row>
    <row r="728" customFormat="false" ht="15.75" hidden="false" customHeight="true" outlineLevel="0" collapsed="false">
      <c r="C728" s="93"/>
    </row>
    <row r="729" customFormat="false" ht="15.75" hidden="false" customHeight="true" outlineLevel="0" collapsed="false">
      <c r="C729" s="93"/>
    </row>
    <row r="730" customFormat="false" ht="15.75" hidden="false" customHeight="true" outlineLevel="0" collapsed="false">
      <c r="C730" s="93"/>
    </row>
    <row r="731" customFormat="false" ht="15.75" hidden="false" customHeight="true" outlineLevel="0" collapsed="false">
      <c r="C731" s="93"/>
    </row>
    <row r="732" customFormat="false" ht="15.75" hidden="false" customHeight="true" outlineLevel="0" collapsed="false">
      <c r="C732" s="93"/>
    </row>
    <row r="733" customFormat="false" ht="15.75" hidden="false" customHeight="true" outlineLevel="0" collapsed="false">
      <c r="C733" s="93"/>
    </row>
    <row r="734" customFormat="false" ht="15.75" hidden="false" customHeight="true" outlineLevel="0" collapsed="false">
      <c r="C734" s="93"/>
    </row>
    <row r="735" customFormat="false" ht="15.75" hidden="false" customHeight="true" outlineLevel="0" collapsed="false">
      <c r="C735" s="93"/>
    </row>
    <row r="736" customFormat="false" ht="15.75" hidden="false" customHeight="true" outlineLevel="0" collapsed="false">
      <c r="C736" s="93"/>
    </row>
    <row r="737" customFormat="false" ht="15.75" hidden="false" customHeight="true" outlineLevel="0" collapsed="false">
      <c r="C737" s="93"/>
    </row>
    <row r="738" customFormat="false" ht="15.75" hidden="false" customHeight="true" outlineLevel="0" collapsed="false">
      <c r="C738" s="93"/>
    </row>
    <row r="739" customFormat="false" ht="15.75" hidden="false" customHeight="true" outlineLevel="0" collapsed="false">
      <c r="C739" s="93"/>
    </row>
    <row r="740" customFormat="false" ht="15.75" hidden="false" customHeight="true" outlineLevel="0" collapsed="false">
      <c r="C740" s="93"/>
    </row>
    <row r="741" customFormat="false" ht="15.75" hidden="false" customHeight="true" outlineLevel="0" collapsed="false">
      <c r="C741" s="93"/>
    </row>
    <row r="742" customFormat="false" ht="15.75" hidden="false" customHeight="true" outlineLevel="0" collapsed="false">
      <c r="C742" s="93"/>
    </row>
    <row r="743" customFormat="false" ht="15.75" hidden="false" customHeight="true" outlineLevel="0" collapsed="false">
      <c r="C743" s="93"/>
    </row>
    <row r="744" customFormat="false" ht="15.75" hidden="false" customHeight="true" outlineLevel="0" collapsed="false">
      <c r="C744" s="93"/>
    </row>
    <row r="745" customFormat="false" ht="15.75" hidden="false" customHeight="true" outlineLevel="0" collapsed="false">
      <c r="C745" s="93"/>
    </row>
    <row r="746" customFormat="false" ht="15.75" hidden="false" customHeight="true" outlineLevel="0" collapsed="false">
      <c r="C746" s="93"/>
    </row>
    <row r="747" customFormat="false" ht="15.75" hidden="false" customHeight="true" outlineLevel="0" collapsed="false">
      <c r="C747" s="93"/>
    </row>
    <row r="748" customFormat="false" ht="15.75" hidden="false" customHeight="true" outlineLevel="0" collapsed="false">
      <c r="C748" s="93"/>
    </row>
    <row r="749" customFormat="false" ht="15.75" hidden="false" customHeight="true" outlineLevel="0" collapsed="false">
      <c r="C749" s="93"/>
    </row>
    <row r="750" customFormat="false" ht="15.75" hidden="false" customHeight="true" outlineLevel="0" collapsed="false">
      <c r="C750" s="93"/>
    </row>
    <row r="751" customFormat="false" ht="15.75" hidden="false" customHeight="true" outlineLevel="0" collapsed="false">
      <c r="C751" s="93"/>
    </row>
    <row r="752" customFormat="false" ht="15.75" hidden="false" customHeight="true" outlineLevel="0" collapsed="false">
      <c r="C752" s="93"/>
    </row>
    <row r="753" customFormat="false" ht="15.75" hidden="false" customHeight="true" outlineLevel="0" collapsed="false">
      <c r="C753" s="93"/>
    </row>
    <row r="754" customFormat="false" ht="15.75" hidden="false" customHeight="true" outlineLevel="0" collapsed="false">
      <c r="C754" s="93"/>
    </row>
    <row r="755" customFormat="false" ht="15.75" hidden="false" customHeight="true" outlineLevel="0" collapsed="false">
      <c r="C755" s="93"/>
    </row>
    <row r="756" customFormat="false" ht="15.75" hidden="false" customHeight="true" outlineLevel="0" collapsed="false">
      <c r="C756" s="93"/>
    </row>
    <row r="757" customFormat="false" ht="15.75" hidden="false" customHeight="true" outlineLevel="0" collapsed="false">
      <c r="C757" s="93"/>
    </row>
    <row r="758" customFormat="false" ht="15.75" hidden="false" customHeight="true" outlineLevel="0" collapsed="false">
      <c r="C758" s="93"/>
    </row>
    <row r="759" customFormat="false" ht="15.75" hidden="false" customHeight="true" outlineLevel="0" collapsed="false">
      <c r="C759" s="93"/>
    </row>
    <row r="760" customFormat="false" ht="15.75" hidden="false" customHeight="true" outlineLevel="0" collapsed="false">
      <c r="C760" s="93"/>
    </row>
    <row r="761" customFormat="false" ht="15.75" hidden="false" customHeight="true" outlineLevel="0" collapsed="false">
      <c r="C761" s="93"/>
    </row>
    <row r="762" customFormat="false" ht="15.75" hidden="false" customHeight="true" outlineLevel="0" collapsed="false">
      <c r="C762" s="93"/>
    </row>
    <row r="763" customFormat="false" ht="15.75" hidden="false" customHeight="true" outlineLevel="0" collapsed="false">
      <c r="C763" s="93"/>
    </row>
    <row r="764" customFormat="false" ht="15.75" hidden="false" customHeight="true" outlineLevel="0" collapsed="false">
      <c r="C764" s="93"/>
    </row>
    <row r="765" customFormat="false" ht="15.75" hidden="false" customHeight="true" outlineLevel="0" collapsed="false">
      <c r="C765" s="93"/>
    </row>
    <row r="766" customFormat="false" ht="15.75" hidden="false" customHeight="true" outlineLevel="0" collapsed="false">
      <c r="C766" s="93"/>
    </row>
    <row r="767" customFormat="false" ht="15.75" hidden="false" customHeight="true" outlineLevel="0" collapsed="false">
      <c r="C767" s="93"/>
    </row>
    <row r="768" customFormat="false" ht="15.75" hidden="false" customHeight="true" outlineLevel="0" collapsed="false">
      <c r="C768" s="93"/>
    </row>
    <row r="769" customFormat="false" ht="15.75" hidden="false" customHeight="true" outlineLevel="0" collapsed="false">
      <c r="C769" s="93"/>
    </row>
    <row r="770" customFormat="false" ht="15.75" hidden="false" customHeight="true" outlineLevel="0" collapsed="false">
      <c r="C770" s="93"/>
    </row>
    <row r="771" customFormat="false" ht="15.75" hidden="false" customHeight="true" outlineLevel="0" collapsed="false">
      <c r="C771" s="93"/>
    </row>
    <row r="772" customFormat="false" ht="15.75" hidden="false" customHeight="true" outlineLevel="0" collapsed="false">
      <c r="C772" s="93"/>
    </row>
    <row r="773" customFormat="false" ht="15.75" hidden="false" customHeight="true" outlineLevel="0" collapsed="false">
      <c r="C773" s="93"/>
    </row>
    <row r="774" customFormat="false" ht="15.75" hidden="false" customHeight="true" outlineLevel="0" collapsed="false">
      <c r="C774" s="93"/>
    </row>
    <row r="775" customFormat="false" ht="15.75" hidden="false" customHeight="true" outlineLevel="0" collapsed="false">
      <c r="C775" s="93"/>
    </row>
    <row r="776" customFormat="false" ht="15.75" hidden="false" customHeight="true" outlineLevel="0" collapsed="false">
      <c r="C776" s="93"/>
    </row>
    <row r="777" customFormat="false" ht="15.75" hidden="false" customHeight="true" outlineLevel="0" collapsed="false">
      <c r="C777" s="93"/>
    </row>
    <row r="778" customFormat="false" ht="15.75" hidden="false" customHeight="true" outlineLevel="0" collapsed="false">
      <c r="C778" s="93"/>
    </row>
    <row r="779" customFormat="false" ht="15.75" hidden="false" customHeight="true" outlineLevel="0" collapsed="false">
      <c r="C779" s="93"/>
    </row>
    <row r="780" customFormat="false" ht="15.75" hidden="false" customHeight="true" outlineLevel="0" collapsed="false">
      <c r="C780" s="93"/>
    </row>
    <row r="781" customFormat="false" ht="15.75" hidden="false" customHeight="true" outlineLevel="0" collapsed="false">
      <c r="C781" s="93"/>
    </row>
    <row r="782" customFormat="false" ht="15.75" hidden="false" customHeight="true" outlineLevel="0" collapsed="false">
      <c r="C782" s="93"/>
    </row>
    <row r="783" customFormat="false" ht="15.75" hidden="false" customHeight="true" outlineLevel="0" collapsed="false">
      <c r="C783" s="93"/>
    </row>
    <row r="784" customFormat="false" ht="15.75" hidden="false" customHeight="true" outlineLevel="0" collapsed="false">
      <c r="C784" s="93"/>
    </row>
    <row r="785" customFormat="false" ht="15.75" hidden="false" customHeight="true" outlineLevel="0" collapsed="false">
      <c r="C785" s="93"/>
    </row>
    <row r="786" customFormat="false" ht="15.75" hidden="false" customHeight="true" outlineLevel="0" collapsed="false">
      <c r="C786" s="93"/>
    </row>
    <row r="787" customFormat="false" ht="15.75" hidden="false" customHeight="true" outlineLevel="0" collapsed="false">
      <c r="C787" s="93"/>
    </row>
    <row r="788" customFormat="false" ht="15.75" hidden="false" customHeight="true" outlineLevel="0" collapsed="false">
      <c r="C788" s="93"/>
    </row>
    <row r="789" customFormat="false" ht="15.75" hidden="false" customHeight="true" outlineLevel="0" collapsed="false">
      <c r="C789" s="93"/>
    </row>
    <row r="790" customFormat="false" ht="15.75" hidden="false" customHeight="true" outlineLevel="0" collapsed="false">
      <c r="C790" s="93"/>
    </row>
    <row r="791" customFormat="false" ht="15.75" hidden="false" customHeight="true" outlineLevel="0" collapsed="false">
      <c r="C791" s="93"/>
    </row>
    <row r="792" customFormat="false" ht="15.75" hidden="false" customHeight="true" outlineLevel="0" collapsed="false">
      <c r="C792" s="93"/>
    </row>
    <row r="793" customFormat="false" ht="15.75" hidden="false" customHeight="true" outlineLevel="0" collapsed="false">
      <c r="C793" s="93"/>
    </row>
    <row r="794" customFormat="false" ht="15.75" hidden="false" customHeight="true" outlineLevel="0" collapsed="false">
      <c r="C794" s="93"/>
    </row>
    <row r="795" customFormat="false" ht="15.75" hidden="false" customHeight="true" outlineLevel="0" collapsed="false">
      <c r="C795" s="93"/>
    </row>
    <row r="796" customFormat="false" ht="15.75" hidden="false" customHeight="true" outlineLevel="0" collapsed="false">
      <c r="C796" s="93"/>
    </row>
    <row r="797" customFormat="false" ht="15.75" hidden="false" customHeight="true" outlineLevel="0" collapsed="false">
      <c r="C797" s="93"/>
    </row>
    <row r="798" customFormat="false" ht="15.75" hidden="false" customHeight="true" outlineLevel="0" collapsed="false">
      <c r="C798" s="93"/>
    </row>
    <row r="799" customFormat="false" ht="15.75" hidden="false" customHeight="true" outlineLevel="0" collapsed="false">
      <c r="C799" s="93"/>
    </row>
    <row r="800" customFormat="false" ht="15.75" hidden="false" customHeight="true" outlineLevel="0" collapsed="false">
      <c r="C800" s="93"/>
    </row>
    <row r="801" customFormat="false" ht="15.75" hidden="false" customHeight="true" outlineLevel="0" collapsed="false">
      <c r="C801" s="93"/>
    </row>
    <row r="802" customFormat="false" ht="15.75" hidden="false" customHeight="true" outlineLevel="0" collapsed="false">
      <c r="C802" s="93"/>
    </row>
    <row r="803" customFormat="false" ht="15.75" hidden="false" customHeight="true" outlineLevel="0" collapsed="false">
      <c r="C803" s="93"/>
    </row>
    <row r="804" customFormat="false" ht="15.75" hidden="false" customHeight="true" outlineLevel="0" collapsed="false">
      <c r="C804" s="93"/>
    </row>
    <row r="805" customFormat="false" ht="15.75" hidden="false" customHeight="true" outlineLevel="0" collapsed="false">
      <c r="C805" s="93"/>
    </row>
    <row r="806" customFormat="false" ht="15.75" hidden="false" customHeight="true" outlineLevel="0" collapsed="false">
      <c r="C806" s="93"/>
    </row>
    <row r="807" customFormat="false" ht="15.75" hidden="false" customHeight="true" outlineLevel="0" collapsed="false">
      <c r="C807" s="93"/>
    </row>
    <row r="808" customFormat="false" ht="15.75" hidden="false" customHeight="true" outlineLevel="0" collapsed="false">
      <c r="C808" s="93"/>
    </row>
    <row r="809" customFormat="false" ht="15.75" hidden="false" customHeight="true" outlineLevel="0" collapsed="false">
      <c r="C809" s="93"/>
    </row>
    <row r="810" customFormat="false" ht="15.75" hidden="false" customHeight="true" outlineLevel="0" collapsed="false">
      <c r="C810" s="93"/>
    </row>
    <row r="811" customFormat="false" ht="15.75" hidden="false" customHeight="true" outlineLevel="0" collapsed="false">
      <c r="C811" s="93"/>
    </row>
    <row r="812" customFormat="false" ht="15.75" hidden="false" customHeight="true" outlineLevel="0" collapsed="false">
      <c r="C812" s="93"/>
    </row>
    <row r="813" customFormat="false" ht="15.75" hidden="false" customHeight="true" outlineLevel="0" collapsed="false">
      <c r="C813" s="93"/>
    </row>
    <row r="814" customFormat="false" ht="15.75" hidden="false" customHeight="true" outlineLevel="0" collapsed="false">
      <c r="C814" s="93"/>
    </row>
    <row r="815" customFormat="false" ht="15.75" hidden="false" customHeight="true" outlineLevel="0" collapsed="false">
      <c r="C815" s="93"/>
    </row>
    <row r="816" customFormat="false" ht="15.75" hidden="false" customHeight="true" outlineLevel="0" collapsed="false">
      <c r="C816" s="93"/>
    </row>
    <row r="817" customFormat="false" ht="15.75" hidden="false" customHeight="true" outlineLevel="0" collapsed="false">
      <c r="C817" s="93"/>
    </row>
    <row r="818" customFormat="false" ht="15.75" hidden="false" customHeight="true" outlineLevel="0" collapsed="false">
      <c r="C818" s="93"/>
    </row>
    <row r="819" customFormat="false" ht="15.75" hidden="false" customHeight="true" outlineLevel="0" collapsed="false">
      <c r="C819" s="93"/>
    </row>
    <row r="820" customFormat="false" ht="15.75" hidden="false" customHeight="true" outlineLevel="0" collapsed="false">
      <c r="C820" s="93"/>
    </row>
    <row r="821" customFormat="false" ht="15.75" hidden="false" customHeight="true" outlineLevel="0" collapsed="false">
      <c r="C821" s="93"/>
    </row>
    <row r="822" customFormat="false" ht="15.75" hidden="false" customHeight="true" outlineLevel="0" collapsed="false">
      <c r="C822" s="93"/>
    </row>
    <row r="823" customFormat="false" ht="15.75" hidden="false" customHeight="true" outlineLevel="0" collapsed="false">
      <c r="C823" s="93"/>
    </row>
    <row r="824" customFormat="false" ht="15.75" hidden="false" customHeight="true" outlineLevel="0" collapsed="false">
      <c r="C824" s="93"/>
    </row>
    <row r="825" customFormat="false" ht="15.75" hidden="false" customHeight="true" outlineLevel="0" collapsed="false">
      <c r="C825" s="93"/>
    </row>
    <row r="826" customFormat="false" ht="15.75" hidden="false" customHeight="true" outlineLevel="0" collapsed="false">
      <c r="C826" s="93"/>
    </row>
    <row r="827" customFormat="false" ht="15.75" hidden="false" customHeight="true" outlineLevel="0" collapsed="false">
      <c r="C827" s="93"/>
    </row>
    <row r="828" customFormat="false" ht="15.75" hidden="false" customHeight="true" outlineLevel="0" collapsed="false">
      <c r="C828" s="93"/>
    </row>
    <row r="829" customFormat="false" ht="15.75" hidden="false" customHeight="true" outlineLevel="0" collapsed="false">
      <c r="C829" s="93"/>
    </row>
    <row r="830" customFormat="false" ht="15.75" hidden="false" customHeight="true" outlineLevel="0" collapsed="false">
      <c r="C830" s="93"/>
    </row>
    <row r="831" customFormat="false" ht="15.75" hidden="false" customHeight="true" outlineLevel="0" collapsed="false">
      <c r="C831" s="93"/>
    </row>
    <row r="832" customFormat="false" ht="15.75" hidden="false" customHeight="true" outlineLevel="0" collapsed="false">
      <c r="C832" s="93"/>
    </row>
    <row r="833" customFormat="false" ht="15.75" hidden="false" customHeight="true" outlineLevel="0" collapsed="false">
      <c r="C833" s="93"/>
    </row>
    <row r="834" customFormat="false" ht="15.75" hidden="false" customHeight="true" outlineLevel="0" collapsed="false">
      <c r="C834" s="93"/>
    </row>
    <row r="835" customFormat="false" ht="15.75" hidden="false" customHeight="true" outlineLevel="0" collapsed="false">
      <c r="C835" s="93"/>
    </row>
    <row r="836" customFormat="false" ht="15.75" hidden="false" customHeight="true" outlineLevel="0" collapsed="false">
      <c r="C836" s="93"/>
    </row>
    <row r="837" customFormat="false" ht="15.75" hidden="false" customHeight="true" outlineLevel="0" collapsed="false">
      <c r="C837" s="93"/>
    </row>
    <row r="838" customFormat="false" ht="15.75" hidden="false" customHeight="true" outlineLevel="0" collapsed="false">
      <c r="C838" s="93"/>
    </row>
    <row r="839" customFormat="false" ht="15.75" hidden="false" customHeight="true" outlineLevel="0" collapsed="false">
      <c r="C839" s="93"/>
    </row>
    <row r="840" customFormat="false" ht="15.75" hidden="false" customHeight="true" outlineLevel="0" collapsed="false">
      <c r="C840" s="93"/>
    </row>
    <row r="841" customFormat="false" ht="15.75" hidden="false" customHeight="true" outlineLevel="0" collapsed="false">
      <c r="C841" s="93"/>
    </row>
    <row r="842" customFormat="false" ht="15.75" hidden="false" customHeight="true" outlineLevel="0" collapsed="false">
      <c r="C842" s="93"/>
    </row>
    <row r="843" customFormat="false" ht="15.75" hidden="false" customHeight="true" outlineLevel="0" collapsed="false">
      <c r="C843" s="93"/>
    </row>
    <row r="844" customFormat="false" ht="15.75" hidden="false" customHeight="true" outlineLevel="0" collapsed="false">
      <c r="C844" s="93"/>
    </row>
    <row r="845" customFormat="false" ht="15.75" hidden="false" customHeight="true" outlineLevel="0" collapsed="false">
      <c r="C845" s="93"/>
    </row>
    <row r="846" customFormat="false" ht="15.75" hidden="false" customHeight="true" outlineLevel="0" collapsed="false">
      <c r="C846" s="93"/>
    </row>
    <row r="847" customFormat="false" ht="15.75" hidden="false" customHeight="true" outlineLevel="0" collapsed="false">
      <c r="C847" s="93"/>
    </row>
    <row r="848" customFormat="false" ht="15.75" hidden="false" customHeight="true" outlineLevel="0" collapsed="false">
      <c r="C848" s="93"/>
    </row>
    <row r="849" customFormat="false" ht="15.75" hidden="false" customHeight="true" outlineLevel="0" collapsed="false">
      <c r="C849" s="93"/>
    </row>
    <row r="850" customFormat="false" ht="15.75" hidden="false" customHeight="true" outlineLevel="0" collapsed="false">
      <c r="C850" s="93"/>
    </row>
    <row r="851" customFormat="false" ht="15.75" hidden="false" customHeight="true" outlineLevel="0" collapsed="false">
      <c r="C851" s="93"/>
    </row>
    <row r="852" customFormat="false" ht="15.75" hidden="false" customHeight="true" outlineLevel="0" collapsed="false">
      <c r="C852" s="93"/>
    </row>
    <row r="853" customFormat="false" ht="15.75" hidden="false" customHeight="true" outlineLevel="0" collapsed="false">
      <c r="C853" s="93"/>
    </row>
    <row r="854" customFormat="false" ht="15.75" hidden="false" customHeight="true" outlineLevel="0" collapsed="false">
      <c r="C854" s="93"/>
    </row>
    <row r="855" customFormat="false" ht="15.75" hidden="false" customHeight="true" outlineLevel="0" collapsed="false">
      <c r="C855" s="93"/>
    </row>
    <row r="856" customFormat="false" ht="15.75" hidden="false" customHeight="true" outlineLevel="0" collapsed="false">
      <c r="C856" s="93"/>
    </row>
    <row r="857" customFormat="false" ht="15.75" hidden="false" customHeight="true" outlineLevel="0" collapsed="false">
      <c r="C857" s="93"/>
    </row>
    <row r="858" customFormat="false" ht="15.75" hidden="false" customHeight="true" outlineLevel="0" collapsed="false">
      <c r="C858" s="93"/>
    </row>
    <row r="859" customFormat="false" ht="15.75" hidden="false" customHeight="true" outlineLevel="0" collapsed="false">
      <c r="C859" s="93"/>
    </row>
    <row r="860" customFormat="false" ht="15.75" hidden="false" customHeight="true" outlineLevel="0" collapsed="false">
      <c r="C860" s="93"/>
    </row>
    <row r="861" customFormat="false" ht="15.75" hidden="false" customHeight="true" outlineLevel="0" collapsed="false">
      <c r="C861" s="93"/>
    </row>
    <row r="862" customFormat="false" ht="15.75" hidden="false" customHeight="true" outlineLevel="0" collapsed="false">
      <c r="C862" s="93"/>
    </row>
    <row r="863" customFormat="false" ht="15.75" hidden="false" customHeight="true" outlineLevel="0" collapsed="false">
      <c r="C863" s="93"/>
    </row>
    <row r="864" customFormat="false" ht="15.75" hidden="false" customHeight="true" outlineLevel="0" collapsed="false">
      <c r="C864" s="93"/>
    </row>
    <row r="865" customFormat="false" ht="15.75" hidden="false" customHeight="true" outlineLevel="0" collapsed="false">
      <c r="C865" s="93"/>
    </row>
    <row r="866" customFormat="false" ht="15.75" hidden="false" customHeight="true" outlineLevel="0" collapsed="false">
      <c r="C866" s="93"/>
    </row>
    <row r="867" customFormat="false" ht="15.75" hidden="false" customHeight="true" outlineLevel="0" collapsed="false">
      <c r="C867" s="93"/>
    </row>
    <row r="868" customFormat="false" ht="15.75" hidden="false" customHeight="true" outlineLevel="0" collapsed="false">
      <c r="C868" s="93"/>
    </row>
    <row r="869" customFormat="false" ht="15.75" hidden="false" customHeight="true" outlineLevel="0" collapsed="false">
      <c r="C869" s="93"/>
    </row>
    <row r="870" customFormat="false" ht="15.75" hidden="false" customHeight="true" outlineLevel="0" collapsed="false">
      <c r="C870" s="93"/>
    </row>
    <row r="871" customFormat="false" ht="15.75" hidden="false" customHeight="true" outlineLevel="0" collapsed="false">
      <c r="C871" s="93"/>
    </row>
    <row r="872" customFormat="false" ht="15.75" hidden="false" customHeight="true" outlineLevel="0" collapsed="false">
      <c r="C872" s="93"/>
    </row>
    <row r="873" customFormat="false" ht="15.75" hidden="false" customHeight="true" outlineLevel="0" collapsed="false">
      <c r="C873" s="93"/>
    </row>
    <row r="874" customFormat="false" ht="15.75" hidden="false" customHeight="true" outlineLevel="0" collapsed="false">
      <c r="C874" s="93"/>
    </row>
    <row r="875" customFormat="false" ht="15.75" hidden="false" customHeight="true" outlineLevel="0" collapsed="false">
      <c r="C875" s="93"/>
    </row>
    <row r="876" customFormat="false" ht="15.75" hidden="false" customHeight="true" outlineLevel="0" collapsed="false">
      <c r="C876" s="93"/>
    </row>
    <row r="877" customFormat="false" ht="15.75" hidden="false" customHeight="true" outlineLevel="0" collapsed="false">
      <c r="C877" s="93"/>
    </row>
    <row r="878" customFormat="false" ht="15.75" hidden="false" customHeight="true" outlineLevel="0" collapsed="false">
      <c r="C878" s="93"/>
    </row>
    <row r="879" customFormat="false" ht="15.75" hidden="false" customHeight="true" outlineLevel="0" collapsed="false">
      <c r="C879" s="93"/>
    </row>
    <row r="880" customFormat="false" ht="15.75" hidden="false" customHeight="true" outlineLevel="0" collapsed="false">
      <c r="C880" s="93"/>
    </row>
    <row r="881" customFormat="false" ht="15.75" hidden="false" customHeight="true" outlineLevel="0" collapsed="false">
      <c r="C881" s="93"/>
    </row>
    <row r="882" customFormat="false" ht="15.75" hidden="false" customHeight="true" outlineLevel="0" collapsed="false">
      <c r="C882" s="93"/>
    </row>
    <row r="883" customFormat="false" ht="15.75" hidden="false" customHeight="true" outlineLevel="0" collapsed="false">
      <c r="C883" s="93"/>
    </row>
    <row r="884" customFormat="false" ht="15.75" hidden="false" customHeight="true" outlineLevel="0" collapsed="false">
      <c r="C884" s="93"/>
    </row>
    <row r="885" customFormat="false" ht="15.75" hidden="false" customHeight="true" outlineLevel="0" collapsed="false">
      <c r="C885" s="93"/>
    </row>
    <row r="886" customFormat="false" ht="15.75" hidden="false" customHeight="true" outlineLevel="0" collapsed="false">
      <c r="C886" s="93"/>
    </row>
    <row r="887" customFormat="false" ht="15.75" hidden="false" customHeight="true" outlineLevel="0" collapsed="false">
      <c r="C887" s="93"/>
    </row>
    <row r="888" customFormat="false" ht="15.75" hidden="false" customHeight="true" outlineLevel="0" collapsed="false">
      <c r="C888" s="93"/>
    </row>
    <row r="889" customFormat="false" ht="15.75" hidden="false" customHeight="true" outlineLevel="0" collapsed="false">
      <c r="C889" s="93"/>
    </row>
    <row r="890" customFormat="false" ht="15.75" hidden="false" customHeight="true" outlineLevel="0" collapsed="false">
      <c r="C890" s="93"/>
    </row>
    <row r="891" customFormat="false" ht="15.75" hidden="false" customHeight="true" outlineLevel="0" collapsed="false">
      <c r="C891" s="93"/>
    </row>
    <row r="892" customFormat="false" ht="15.75" hidden="false" customHeight="true" outlineLevel="0" collapsed="false">
      <c r="C892" s="93"/>
    </row>
    <row r="893" customFormat="false" ht="15.75" hidden="false" customHeight="true" outlineLevel="0" collapsed="false">
      <c r="C893" s="93"/>
    </row>
    <row r="894" customFormat="false" ht="15.75" hidden="false" customHeight="true" outlineLevel="0" collapsed="false">
      <c r="C894" s="93"/>
    </row>
    <row r="895" customFormat="false" ht="15.75" hidden="false" customHeight="true" outlineLevel="0" collapsed="false">
      <c r="C895" s="93"/>
    </row>
    <row r="896" customFormat="false" ht="15.75" hidden="false" customHeight="true" outlineLevel="0" collapsed="false">
      <c r="C896" s="93"/>
    </row>
    <row r="897" customFormat="false" ht="15.75" hidden="false" customHeight="true" outlineLevel="0" collapsed="false">
      <c r="C897" s="93"/>
    </row>
    <row r="898" customFormat="false" ht="15.75" hidden="false" customHeight="true" outlineLevel="0" collapsed="false">
      <c r="C898" s="93"/>
    </row>
    <row r="899" customFormat="false" ht="15.75" hidden="false" customHeight="true" outlineLevel="0" collapsed="false">
      <c r="C899" s="93"/>
    </row>
    <row r="900" customFormat="false" ht="15.75" hidden="false" customHeight="true" outlineLevel="0" collapsed="false">
      <c r="C900" s="93"/>
    </row>
    <row r="901" customFormat="false" ht="15.75" hidden="false" customHeight="true" outlineLevel="0" collapsed="false">
      <c r="C901" s="93"/>
    </row>
    <row r="902" customFormat="false" ht="15.75" hidden="false" customHeight="true" outlineLevel="0" collapsed="false">
      <c r="C902" s="93"/>
    </row>
    <row r="903" customFormat="false" ht="15.75" hidden="false" customHeight="true" outlineLevel="0" collapsed="false">
      <c r="C903" s="93"/>
    </row>
    <row r="904" customFormat="false" ht="15.75" hidden="false" customHeight="true" outlineLevel="0" collapsed="false">
      <c r="C904" s="93"/>
    </row>
    <row r="905" customFormat="false" ht="15.75" hidden="false" customHeight="true" outlineLevel="0" collapsed="false">
      <c r="C905" s="93"/>
    </row>
    <row r="906" customFormat="false" ht="15.75" hidden="false" customHeight="true" outlineLevel="0" collapsed="false">
      <c r="C906" s="93"/>
    </row>
    <row r="907" customFormat="false" ht="15.75" hidden="false" customHeight="true" outlineLevel="0" collapsed="false">
      <c r="C907" s="93"/>
    </row>
    <row r="908" customFormat="false" ht="15.75" hidden="false" customHeight="true" outlineLevel="0" collapsed="false">
      <c r="C908" s="93"/>
    </row>
    <row r="909" customFormat="false" ht="15.75" hidden="false" customHeight="true" outlineLevel="0" collapsed="false">
      <c r="C909" s="93"/>
    </row>
    <row r="910" customFormat="false" ht="15.75" hidden="false" customHeight="true" outlineLevel="0" collapsed="false">
      <c r="C910" s="93"/>
    </row>
    <row r="911" customFormat="false" ht="15.75" hidden="false" customHeight="true" outlineLevel="0" collapsed="false">
      <c r="C911" s="93"/>
    </row>
    <row r="912" customFormat="false" ht="15.75" hidden="false" customHeight="true" outlineLevel="0" collapsed="false">
      <c r="C912" s="93"/>
    </row>
    <row r="913" customFormat="false" ht="15.75" hidden="false" customHeight="true" outlineLevel="0" collapsed="false">
      <c r="C913" s="93"/>
    </row>
    <row r="914" customFormat="false" ht="15.75" hidden="false" customHeight="true" outlineLevel="0" collapsed="false">
      <c r="C914" s="93"/>
    </row>
    <row r="915" customFormat="false" ht="15.75" hidden="false" customHeight="true" outlineLevel="0" collapsed="false">
      <c r="C915" s="93"/>
    </row>
    <row r="916" customFormat="false" ht="15.75" hidden="false" customHeight="true" outlineLevel="0" collapsed="false">
      <c r="C916" s="93"/>
    </row>
    <row r="917" customFormat="false" ht="15.75" hidden="false" customHeight="true" outlineLevel="0" collapsed="false">
      <c r="C917" s="93"/>
    </row>
    <row r="918" customFormat="false" ht="15.75" hidden="false" customHeight="true" outlineLevel="0" collapsed="false">
      <c r="C918" s="93"/>
    </row>
    <row r="919" customFormat="false" ht="15.75" hidden="false" customHeight="true" outlineLevel="0" collapsed="false">
      <c r="C919" s="93"/>
    </row>
    <row r="920" customFormat="false" ht="15.75" hidden="false" customHeight="true" outlineLevel="0" collapsed="false">
      <c r="C920" s="93"/>
    </row>
    <row r="921" customFormat="false" ht="15.75" hidden="false" customHeight="true" outlineLevel="0" collapsed="false">
      <c r="C921" s="93"/>
    </row>
    <row r="922" customFormat="false" ht="15.75" hidden="false" customHeight="true" outlineLevel="0" collapsed="false">
      <c r="C922" s="93"/>
    </row>
    <row r="923" customFormat="false" ht="15.75" hidden="false" customHeight="true" outlineLevel="0" collapsed="false">
      <c r="C923" s="93"/>
    </row>
    <row r="924" customFormat="false" ht="15.75" hidden="false" customHeight="true" outlineLevel="0" collapsed="false">
      <c r="C924" s="93"/>
    </row>
    <row r="925" customFormat="false" ht="15.75" hidden="false" customHeight="true" outlineLevel="0" collapsed="false">
      <c r="C925" s="93"/>
    </row>
    <row r="926" customFormat="false" ht="15.75" hidden="false" customHeight="true" outlineLevel="0" collapsed="false">
      <c r="C926" s="93"/>
    </row>
    <row r="927" customFormat="false" ht="15.75" hidden="false" customHeight="true" outlineLevel="0" collapsed="false">
      <c r="C927" s="93"/>
    </row>
    <row r="928" customFormat="false" ht="15.75" hidden="false" customHeight="true" outlineLevel="0" collapsed="false">
      <c r="C928" s="93"/>
    </row>
    <row r="929" customFormat="false" ht="15.75" hidden="false" customHeight="true" outlineLevel="0" collapsed="false">
      <c r="C929" s="93"/>
    </row>
    <row r="930" customFormat="false" ht="15.75" hidden="false" customHeight="true" outlineLevel="0" collapsed="false">
      <c r="C930" s="93"/>
    </row>
    <row r="931" customFormat="false" ht="15.75" hidden="false" customHeight="true" outlineLevel="0" collapsed="false">
      <c r="C931" s="93"/>
    </row>
    <row r="932" customFormat="false" ht="15.75" hidden="false" customHeight="true" outlineLevel="0" collapsed="false">
      <c r="C932" s="93"/>
    </row>
    <row r="933" customFormat="false" ht="15.75" hidden="false" customHeight="true" outlineLevel="0" collapsed="false">
      <c r="C933" s="93"/>
    </row>
    <row r="934" customFormat="false" ht="15.75" hidden="false" customHeight="true" outlineLevel="0" collapsed="false">
      <c r="C934" s="93"/>
    </row>
    <row r="935" customFormat="false" ht="15.75" hidden="false" customHeight="true" outlineLevel="0" collapsed="false">
      <c r="C935" s="93"/>
    </row>
    <row r="936" customFormat="false" ht="15.75" hidden="false" customHeight="true" outlineLevel="0" collapsed="false">
      <c r="C936" s="93"/>
    </row>
    <row r="937" customFormat="false" ht="15.75" hidden="false" customHeight="true" outlineLevel="0" collapsed="false">
      <c r="C937" s="93"/>
    </row>
    <row r="938" customFormat="false" ht="15.75" hidden="false" customHeight="true" outlineLevel="0" collapsed="false">
      <c r="C938" s="93"/>
    </row>
    <row r="939" customFormat="false" ht="15.75" hidden="false" customHeight="true" outlineLevel="0" collapsed="false">
      <c r="C939" s="93"/>
    </row>
    <row r="940" customFormat="false" ht="15.75" hidden="false" customHeight="true" outlineLevel="0" collapsed="false">
      <c r="C940" s="93"/>
    </row>
    <row r="941" customFormat="false" ht="15.75" hidden="false" customHeight="true" outlineLevel="0" collapsed="false">
      <c r="C941" s="93"/>
    </row>
    <row r="942" customFormat="false" ht="15.75" hidden="false" customHeight="true" outlineLevel="0" collapsed="false">
      <c r="C942" s="93"/>
    </row>
    <row r="943" customFormat="false" ht="15.75" hidden="false" customHeight="true" outlineLevel="0" collapsed="false">
      <c r="C943" s="93"/>
    </row>
    <row r="944" customFormat="false" ht="15.75" hidden="false" customHeight="true" outlineLevel="0" collapsed="false">
      <c r="C944" s="93"/>
    </row>
    <row r="945" customFormat="false" ht="15.75" hidden="false" customHeight="true" outlineLevel="0" collapsed="false">
      <c r="C945" s="93"/>
    </row>
    <row r="946" customFormat="false" ht="15.75" hidden="false" customHeight="true" outlineLevel="0" collapsed="false">
      <c r="C946" s="93"/>
    </row>
    <row r="947" customFormat="false" ht="15.75" hidden="false" customHeight="true" outlineLevel="0" collapsed="false">
      <c r="C947" s="93"/>
    </row>
    <row r="948" customFormat="false" ht="15.75" hidden="false" customHeight="true" outlineLevel="0" collapsed="false">
      <c r="C948" s="93"/>
    </row>
    <row r="949" customFormat="false" ht="15.75" hidden="false" customHeight="true" outlineLevel="0" collapsed="false">
      <c r="C949" s="93"/>
    </row>
    <row r="950" customFormat="false" ht="15.75" hidden="false" customHeight="true" outlineLevel="0" collapsed="false">
      <c r="C950" s="93"/>
    </row>
    <row r="951" customFormat="false" ht="15.75" hidden="false" customHeight="true" outlineLevel="0" collapsed="false">
      <c r="C951" s="93"/>
    </row>
    <row r="952" customFormat="false" ht="15.75" hidden="false" customHeight="true" outlineLevel="0" collapsed="false">
      <c r="C952" s="93"/>
    </row>
    <row r="953" customFormat="false" ht="15.75" hidden="false" customHeight="true" outlineLevel="0" collapsed="false">
      <c r="C953" s="93"/>
    </row>
    <row r="954" customFormat="false" ht="15.75" hidden="false" customHeight="true" outlineLevel="0" collapsed="false">
      <c r="C954" s="93"/>
    </row>
    <row r="955" customFormat="false" ht="15.75" hidden="false" customHeight="true" outlineLevel="0" collapsed="false">
      <c r="C955" s="93"/>
    </row>
    <row r="956" customFormat="false" ht="15.75" hidden="false" customHeight="true" outlineLevel="0" collapsed="false">
      <c r="C956" s="93"/>
    </row>
    <row r="957" customFormat="false" ht="15.75" hidden="false" customHeight="true" outlineLevel="0" collapsed="false">
      <c r="C957" s="93"/>
    </row>
    <row r="958" customFormat="false" ht="15.75" hidden="false" customHeight="true" outlineLevel="0" collapsed="false">
      <c r="C958" s="93"/>
    </row>
    <row r="959" customFormat="false" ht="15.75" hidden="false" customHeight="true" outlineLevel="0" collapsed="false">
      <c r="C959" s="93"/>
    </row>
    <row r="960" customFormat="false" ht="15.75" hidden="false" customHeight="true" outlineLevel="0" collapsed="false">
      <c r="C960" s="93"/>
    </row>
    <row r="961" customFormat="false" ht="15.75" hidden="false" customHeight="true" outlineLevel="0" collapsed="false">
      <c r="C961" s="93"/>
    </row>
    <row r="962" customFormat="false" ht="15.75" hidden="false" customHeight="true" outlineLevel="0" collapsed="false">
      <c r="C962" s="93"/>
    </row>
    <row r="963" customFormat="false" ht="15.75" hidden="false" customHeight="true" outlineLevel="0" collapsed="false">
      <c r="C963" s="93"/>
    </row>
    <row r="964" customFormat="false" ht="15.75" hidden="false" customHeight="true" outlineLevel="0" collapsed="false">
      <c r="C964" s="93"/>
    </row>
    <row r="965" customFormat="false" ht="15.75" hidden="false" customHeight="true" outlineLevel="0" collapsed="false">
      <c r="C965" s="93"/>
    </row>
    <row r="966" customFormat="false" ht="15.75" hidden="false" customHeight="true" outlineLevel="0" collapsed="false">
      <c r="C966" s="93"/>
    </row>
    <row r="967" customFormat="false" ht="15.75" hidden="false" customHeight="true" outlineLevel="0" collapsed="false">
      <c r="C967" s="93"/>
    </row>
    <row r="968" customFormat="false" ht="15.75" hidden="false" customHeight="true" outlineLevel="0" collapsed="false">
      <c r="C968" s="93"/>
    </row>
    <row r="969" customFormat="false" ht="15.75" hidden="false" customHeight="true" outlineLevel="0" collapsed="false">
      <c r="C969" s="93"/>
    </row>
    <row r="970" customFormat="false" ht="15.75" hidden="false" customHeight="true" outlineLevel="0" collapsed="false">
      <c r="C970" s="93"/>
    </row>
    <row r="971" customFormat="false" ht="15.75" hidden="false" customHeight="true" outlineLevel="0" collapsed="false">
      <c r="C971" s="93"/>
    </row>
    <row r="972" customFormat="false" ht="15.75" hidden="false" customHeight="true" outlineLevel="0" collapsed="false">
      <c r="C972" s="93"/>
    </row>
    <row r="973" customFormat="false" ht="15.75" hidden="false" customHeight="true" outlineLevel="0" collapsed="false">
      <c r="C973" s="93"/>
    </row>
    <row r="974" customFormat="false" ht="15.75" hidden="false" customHeight="true" outlineLevel="0" collapsed="false">
      <c r="C974" s="93"/>
    </row>
    <row r="975" customFormat="false" ht="15.75" hidden="false" customHeight="true" outlineLevel="0" collapsed="false">
      <c r="C975" s="93"/>
    </row>
    <row r="976" customFormat="false" ht="15.75" hidden="false" customHeight="true" outlineLevel="0" collapsed="false">
      <c r="C976" s="93"/>
    </row>
    <row r="977" customFormat="false" ht="15.75" hidden="false" customHeight="true" outlineLevel="0" collapsed="false">
      <c r="C977" s="93"/>
    </row>
    <row r="978" customFormat="false" ht="15.75" hidden="false" customHeight="true" outlineLevel="0" collapsed="false">
      <c r="C978" s="93"/>
    </row>
    <row r="979" customFormat="false" ht="15.75" hidden="false" customHeight="true" outlineLevel="0" collapsed="false">
      <c r="C979" s="93"/>
    </row>
    <row r="980" customFormat="false" ht="15.75" hidden="false" customHeight="true" outlineLevel="0" collapsed="false">
      <c r="C980" s="93"/>
    </row>
    <row r="981" customFormat="false" ht="15.75" hidden="false" customHeight="true" outlineLevel="0" collapsed="false">
      <c r="C981" s="93"/>
    </row>
    <row r="982" customFormat="false" ht="15.75" hidden="false" customHeight="true" outlineLevel="0" collapsed="false">
      <c r="C982" s="93"/>
    </row>
    <row r="983" customFormat="false" ht="15.75" hidden="false" customHeight="true" outlineLevel="0" collapsed="false">
      <c r="C983" s="93"/>
    </row>
    <row r="984" customFormat="false" ht="15.75" hidden="false" customHeight="true" outlineLevel="0" collapsed="false">
      <c r="C984" s="93"/>
    </row>
    <row r="985" customFormat="false" ht="15.75" hidden="false" customHeight="true" outlineLevel="0" collapsed="false">
      <c r="C985" s="93"/>
    </row>
    <row r="986" customFormat="false" ht="15.75" hidden="false" customHeight="true" outlineLevel="0" collapsed="false">
      <c r="C986" s="93"/>
    </row>
    <row r="987" customFormat="false" ht="15.75" hidden="false" customHeight="true" outlineLevel="0" collapsed="false">
      <c r="C987" s="93"/>
    </row>
    <row r="988" customFormat="false" ht="15.75" hidden="false" customHeight="true" outlineLevel="0" collapsed="false">
      <c r="C988" s="93"/>
    </row>
    <row r="989" customFormat="false" ht="15.75" hidden="false" customHeight="true" outlineLevel="0" collapsed="false">
      <c r="C989" s="93"/>
    </row>
    <row r="990" customFormat="false" ht="15.75" hidden="false" customHeight="true" outlineLevel="0" collapsed="false">
      <c r="C990" s="93"/>
    </row>
    <row r="991" customFormat="false" ht="15.75" hidden="false" customHeight="true" outlineLevel="0" collapsed="false">
      <c r="C991" s="93"/>
    </row>
    <row r="992" customFormat="false" ht="15.75" hidden="false" customHeight="true" outlineLevel="0" collapsed="false">
      <c r="C992" s="93"/>
    </row>
    <row r="993" customFormat="false" ht="15.75" hidden="false" customHeight="true" outlineLevel="0" collapsed="false">
      <c r="C993" s="93"/>
    </row>
    <row r="994" customFormat="false" ht="15.75" hidden="false" customHeight="true" outlineLevel="0" collapsed="false">
      <c r="C994" s="93"/>
    </row>
    <row r="995" customFormat="false" ht="15.75" hidden="false" customHeight="true" outlineLevel="0" collapsed="false">
      <c r="C995" s="93"/>
    </row>
    <row r="996" customFormat="false" ht="15.75" hidden="false" customHeight="true" outlineLevel="0" collapsed="false">
      <c r="C996" s="93"/>
    </row>
    <row r="997" customFormat="false" ht="15.75" hidden="false" customHeight="true" outlineLevel="0" collapsed="false">
      <c r="C997" s="93"/>
    </row>
    <row r="998" customFormat="false" ht="15.75" hidden="false" customHeight="true" outlineLevel="0" collapsed="false">
      <c r="C998" s="93"/>
    </row>
    <row r="999" customFormat="false" ht="15.75" hidden="false" customHeight="true" outlineLevel="0" collapsed="false">
      <c r="C999" s="93"/>
    </row>
    <row r="1000" customFormat="false" ht="15.75" hidden="false" customHeight="true" outlineLevel="0" collapsed="false">
      <c r="C1000" s="93"/>
    </row>
  </sheetData>
  <mergeCells count="6">
    <mergeCell ref="B5:C5"/>
    <mergeCell ref="F5:G5"/>
    <mergeCell ref="B41:C41"/>
    <mergeCell ref="E44:E55"/>
    <mergeCell ref="F44:F55"/>
    <mergeCell ref="G44:G55"/>
  </mergeCells>
  <printOptions headings="false" gridLines="false" gridLinesSet="true" horizontalCentered="false" verticalCentered="false"/>
  <pageMargins left="0.7" right="0.7" top="0.3" bottom="0.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zeroHeight="false" outlineLevelRow="0" outlineLevelCol="0"/>
  <cols>
    <col collapsed="false" customWidth="true" hidden="false" outlineLevel="0" max="1" min="1" style="1" width="56.29"/>
    <col collapsed="false" customWidth="true" hidden="false" outlineLevel="0" max="2" min="2" style="1" width="21.57"/>
    <col collapsed="false" customWidth="true" hidden="false" outlineLevel="0" max="3" min="3" style="1" width="21.14"/>
    <col collapsed="false" customWidth="true" hidden="false" outlineLevel="0" max="4" min="4" style="1" width="16.29"/>
    <col collapsed="false" customWidth="true" hidden="false" outlineLevel="0" max="5" min="5" style="1" width="18.29"/>
    <col collapsed="false" customWidth="true" hidden="false" outlineLevel="0" max="6" min="6" style="1" width="10.85"/>
    <col collapsed="false" customWidth="true" hidden="false" outlineLevel="0" max="26" min="7" style="1" width="8.71"/>
  </cols>
  <sheetData>
    <row r="1" customFormat="false" ht="15" hidden="false" customHeight="true" outlineLevel="0" collapsed="false">
      <c r="E1" s="93"/>
    </row>
    <row r="2" customFormat="false" ht="15" hidden="false" customHeight="true" outlineLevel="0" collapsed="false">
      <c r="E2" s="93"/>
    </row>
    <row r="3" customFormat="false" ht="13.5" hidden="false" customHeight="true" outlineLevel="0" collapsed="false">
      <c r="A3" s="117" t="s">
        <v>2</v>
      </c>
      <c r="E3" s="93"/>
    </row>
    <row r="4" customFormat="false" ht="23.25" hidden="false" customHeight="true" outlineLevel="0" collapsed="false">
      <c r="A4" s="118" t="s">
        <v>3</v>
      </c>
      <c r="B4" s="119" t="s">
        <v>123</v>
      </c>
      <c r="C4" s="119" t="s">
        <v>124</v>
      </c>
      <c r="D4" s="120" t="s">
        <v>125</v>
      </c>
      <c r="E4" s="121"/>
      <c r="F4" s="122"/>
      <c r="G4" s="122"/>
      <c r="H4" s="122"/>
      <c r="I4" s="122"/>
      <c r="J4" s="122"/>
      <c r="K4" s="122"/>
      <c r="L4" s="122"/>
      <c r="M4" s="122"/>
      <c r="N4" s="122"/>
      <c r="O4" s="122"/>
      <c r="P4" s="122"/>
      <c r="Q4" s="122"/>
      <c r="R4" s="122"/>
      <c r="S4" s="122"/>
      <c r="T4" s="122"/>
      <c r="U4" s="122"/>
      <c r="V4" s="122"/>
      <c r="W4" s="122"/>
      <c r="X4" s="122"/>
      <c r="Y4" s="122"/>
      <c r="Z4" s="122"/>
    </row>
    <row r="5" customFormat="false" ht="15" hidden="false" customHeight="true" outlineLevel="0" collapsed="false">
      <c r="A5" s="123" t="s">
        <v>126</v>
      </c>
      <c r="B5" s="124" t="n">
        <v>638069411</v>
      </c>
      <c r="C5" s="125" t="n">
        <v>692490582.63</v>
      </c>
      <c r="D5" s="124" t="n">
        <f aca="false">(B5-C5)/ABS(C5)*100</f>
        <v>-7.85875981494429</v>
      </c>
      <c r="E5" s="93"/>
    </row>
    <row r="6" customFormat="false" ht="15" hidden="false" customHeight="true" outlineLevel="0" collapsed="false">
      <c r="A6" s="123" t="s">
        <v>127</v>
      </c>
      <c r="B6" s="124"/>
      <c r="C6" s="125"/>
      <c r="D6" s="124"/>
      <c r="E6" s="93"/>
    </row>
    <row r="7" customFormat="false" ht="15" hidden="false" customHeight="true" outlineLevel="0" collapsed="false">
      <c r="A7" s="123" t="s">
        <v>128</v>
      </c>
      <c r="B7" s="124"/>
      <c r="C7" s="125"/>
      <c r="D7" s="124"/>
      <c r="E7" s="93"/>
    </row>
    <row r="8" customFormat="false" ht="15" hidden="false" customHeight="true" outlineLevel="0" collapsed="false">
      <c r="A8" s="123" t="s">
        <v>129</v>
      </c>
      <c r="B8" s="124"/>
      <c r="C8" s="125"/>
      <c r="D8" s="124"/>
      <c r="E8" s="93"/>
    </row>
    <row r="9" customFormat="false" ht="15" hidden="false" customHeight="true" outlineLevel="0" collapsed="false">
      <c r="A9" s="126" t="s">
        <v>130</v>
      </c>
      <c r="B9" s="127" t="n">
        <f aca="false">SUM(B5:B8)</f>
        <v>638069411</v>
      </c>
      <c r="C9" s="128" t="n">
        <f aca="false">SUM(C5:C8)</f>
        <v>692490582.63</v>
      </c>
      <c r="D9" s="127" t="n">
        <f aca="false">(B9-C9)/ABS(C9)*100</f>
        <v>-7.85875981494429</v>
      </c>
      <c r="E9" s="93"/>
    </row>
    <row r="10" customFormat="false" ht="15" hidden="false" customHeight="true" outlineLevel="0" collapsed="false">
      <c r="A10" s="123" t="s">
        <v>131</v>
      </c>
      <c r="B10" s="124" t="n">
        <v>-11653629</v>
      </c>
      <c r="C10" s="125" t="n">
        <v>-13489892.97</v>
      </c>
      <c r="D10" s="124" t="n">
        <f aca="false">(B10-C10)/ABS(C10)*100</f>
        <v>13.612146323797</v>
      </c>
      <c r="E10" s="93"/>
    </row>
    <row r="11" customFormat="false" ht="15" hidden="false" customHeight="true" outlineLevel="0" collapsed="false">
      <c r="A11" s="123" t="s">
        <v>132</v>
      </c>
      <c r="B11" s="124" t="n">
        <v>-13343620</v>
      </c>
      <c r="C11" s="125" t="n">
        <v>-23761353.61</v>
      </c>
      <c r="D11" s="124" t="n">
        <f aca="false">(B11-C11)/ABS(C11)*100</f>
        <v>43.8431824254982</v>
      </c>
      <c r="E11" s="93"/>
    </row>
    <row r="12" customFormat="false" ht="15" hidden="false" customHeight="true" outlineLevel="0" collapsed="false">
      <c r="A12" s="126" t="s">
        <v>133</v>
      </c>
      <c r="B12" s="127" t="n">
        <f aca="false">SUM(B10:B11)</f>
        <v>-24997249</v>
      </c>
      <c r="C12" s="128" t="n">
        <f aca="false">SUM(C10:C11)</f>
        <v>-37251246.58</v>
      </c>
      <c r="D12" s="127" t="n">
        <f aca="false">(B12-C12)/ABS(C12)*100</f>
        <v>32.8955369417868</v>
      </c>
      <c r="E12" s="93"/>
    </row>
    <row r="13" customFormat="false" ht="15" hidden="false" customHeight="true" outlineLevel="0" collapsed="false">
      <c r="A13" s="126" t="s">
        <v>134</v>
      </c>
      <c r="B13" s="129" t="n">
        <f aca="false">B9+B12</f>
        <v>613072162</v>
      </c>
      <c r="C13" s="130" t="n">
        <f aca="false">C9+C12</f>
        <v>655239336.05</v>
      </c>
      <c r="D13" s="129" t="n">
        <f aca="false">(B13-C13)/ABS(C13)*100</f>
        <v>-6.43538501583218</v>
      </c>
      <c r="E13" s="93"/>
    </row>
    <row r="14" customFormat="false" ht="15" hidden="false" customHeight="true" outlineLevel="0" collapsed="false">
      <c r="A14" s="123" t="s">
        <v>135</v>
      </c>
      <c r="B14" s="124" t="n">
        <v>-471719563</v>
      </c>
      <c r="C14" s="125" t="n">
        <v>-645094951.54</v>
      </c>
      <c r="D14" s="124" t="n">
        <f aca="false">(B14-C14)/ABS(C14)*100</f>
        <v>26.8759487461668</v>
      </c>
      <c r="E14" s="93"/>
    </row>
    <row r="15" customFormat="false" ht="15" hidden="false" customHeight="true" outlineLevel="0" collapsed="false">
      <c r="A15" s="123" t="s">
        <v>136</v>
      </c>
      <c r="B15" s="124" t="n">
        <v>-7763815</v>
      </c>
      <c r="C15" s="125" t="n">
        <v>-11723164.41</v>
      </c>
      <c r="D15" s="124" t="n">
        <f aca="false">(B15-C15)/ABS(C15)*100</f>
        <v>33.7737258604224</v>
      </c>
      <c r="E15" s="131"/>
    </row>
    <row r="16" customFormat="false" ht="15" hidden="false" customHeight="true" outlineLevel="0" collapsed="false">
      <c r="A16" s="126" t="s">
        <v>137</v>
      </c>
      <c r="B16" s="127" t="n">
        <f aca="false">B13+B14+B15</f>
        <v>133588784</v>
      </c>
      <c r="C16" s="128" t="n">
        <f aca="false">C13+C14+C15</f>
        <v>-1578779.90000001</v>
      </c>
      <c r="D16" s="127" t="n">
        <f aca="false">(B16-C16)/ABS(C16)*100</f>
        <v>8561.52044372994</v>
      </c>
      <c r="E16" s="93"/>
    </row>
    <row r="17" customFormat="false" ht="15" hidden="false" customHeight="true" outlineLevel="0" collapsed="false">
      <c r="A17" s="123" t="s">
        <v>138</v>
      </c>
      <c r="B17" s="124" t="n">
        <v>210767</v>
      </c>
      <c r="C17" s="125" t="n">
        <v>1824099</v>
      </c>
      <c r="D17" s="124" t="n">
        <f aca="false">(B17-C17)/ABS(C17)*100</f>
        <v>-88.4454188067643</v>
      </c>
      <c r="E17" s="93"/>
    </row>
    <row r="18" customFormat="false" ht="15" hidden="false" customHeight="true" outlineLevel="0" collapsed="false">
      <c r="A18" s="123" t="s">
        <v>139</v>
      </c>
      <c r="B18" s="124" t="n">
        <v>-2689760</v>
      </c>
      <c r="C18" s="125" t="n">
        <v>-1367044.88</v>
      </c>
      <c r="D18" s="124" t="n">
        <f aca="false">(B18-C18)/ABS(C18)*100</f>
        <v>-96.7572564259924</v>
      </c>
      <c r="E18" s="93"/>
    </row>
    <row r="19" customFormat="false" ht="15" hidden="false" customHeight="true" outlineLevel="0" collapsed="false">
      <c r="A19" s="123" t="s">
        <v>140</v>
      </c>
      <c r="B19" s="124" t="n">
        <v>-106225700</v>
      </c>
      <c r="C19" s="125" t="n">
        <v>-10170525.35</v>
      </c>
      <c r="D19" s="124" t="n">
        <f aca="false">(B19-C19)/ABS(C19)*100</f>
        <v>-944.446538840789</v>
      </c>
      <c r="E19" s="93"/>
    </row>
    <row r="20" customFormat="false" ht="15" hidden="false" customHeight="true" outlineLevel="0" collapsed="false">
      <c r="A20" s="123" t="s">
        <v>141</v>
      </c>
      <c r="B20" s="124"/>
      <c r="C20" s="125" t="n">
        <v>19404053.7</v>
      </c>
      <c r="D20" s="124" t="n">
        <f aca="false">(B20-C20)/ABS(C20)*100</f>
        <v>-100</v>
      </c>
      <c r="E20" s="93"/>
    </row>
    <row r="21" customFormat="false" ht="15.75" hidden="false" customHeight="true" outlineLevel="0" collapsed="false">
      <c r="A21" s="126" t="s">
        <v>142</v>
      </c>
      <c r="B21" s="127" t="n">
        <f aca="false">SUM(B16:B20)</f>
        <v>24884091</v>
      </c>
      <c r="C21" s="128" t="n">
        <f aca="false">SUM(C16:C20)</f>
        <v>8111802.56999999</v>
      </c>
      <c r="D21" s="127" t="n">
        <f aca="false">(B21-C21)/ABS(C21)*100</f>
        <v>206.764011885955</v>
      </c>
      <c r="E21" s="93"/>
    </row>
    <row r="22" customFormat="false" ht="15.75" hidden="false" customHeight="true" outlineLevel="0" collapsed="false">
      <c r="A22" s="123" t="s">
        <v>143</v>
      </c>
      <c r="B22" s="124"/>
      <c r="C22" s="125"/>
      <c r="D22" s="124"/>
      <c r="E22" s="93"/>
    </row>
    <row r="23" customFormat="false" ht="15.75" hidden="false" customHeight="true" outlineLevel="0" collapsed="false">
      <c r="A23" s="123" t="s">
        <v>144</v>
      </c>
      <c r="B23" s="124"/>
      <c r="C23" s="125"/>
      <c r="D23" s="124"/>
      <c r="E23" s="93"/>
    </row>
    <row r="24" customFormat="false" ht="15.75" hidden="false" customHeight="true" outlineLevel="0" collapsed="false">
      <c r="A24" s="126" t="s">
        <v>145</v>
      </c>
      <c r="B24" s="127" t="n">
        <f aca="false">SUM(B22:B23)</f>
        <v>0</v>
      </c>
      <c r="C24" s="128" t="n">
        <f aca="false">SUM(C22:C23)</f>
        <v>0</v>
      </c>
      <c r="D24" s="127"/>
      <c r="E24" s="93"/>
    </row>
    <row r="25" customFormat="false" ht="15.75" hidden="false" customHeight="true" outlineLevel="0" collapsed="false">
      <c r="A25" s="126" t="s">
        <v>146</v>
      </c>
      <c r="B25" s="129" t="n">
        <f aca="false">B21+B24</f>
        <v>24884091</v>
      </c>
      <c r="C25" s="130" t="n">
        <f aca="false">C21+C24</f>
        <v>8111802.56999999</v>
      </c>
      <c r="D25" s="129" t="n">
        <f aca="false">(B25-C25)/ABS(C25)*100</f>
        <v>206.764011885955</v>
      </c>
      <c r="E25" s="93"/>
    </row>
    <row r="26" customFormat="false" ht="15.75" hidden="false" customHeight="true" outlineLevel="0" collapsed="false">
      <c r="A26" s="123"/>
      <c r="B26" s="132"/>
      <c r="C26" s="133"/>
      <c r="D26" s="132"/>
      <c r="E26" s="93"/>
    </row>
    <row r="27" customFormat="false" ht="15.75" hidden="false" customHeight="true" outlineLevel="0" collapsed="false">
      <c r="A27" s="123" t="s">
        <v>147</v>
      </c>
      <c r="B27" s="124" t="n">
        <v>-8003760</v>
      </c>
      <c r="C27" s="125" t="n">
        <v>-4720860</v>
      </c>
      <c r="D27" s="124" t="n">
        <f aca="false">(B27-C27)/ABS(C27)*100</f>
        <v>-69.5402956241024</v>
      </c>
      <c r="E27" s="93"/>
    </row>
    <row r="28" customFormat="false" ht="15.75" hidden="false" customHeight="true" outlineLevel="0" collapsed="false">
      <c r="A28" s="123" t="s">
        <v>148</v>
      </c>
      <c r="B28" s="124" t="n">
        <v>5900438</v>
      </c>
      <c r="C28" s="125"/>
      <c r="D28" s="124"/>
      <c r="E28" s="93"/>
    </row>
    <row r="29" customFormat="false" ht="15.75" hidden="false" customHeight="true" outlineLevel="0" collapsed="false">
      <c r="A29" s="126" t="s">
        <v>149</v>
      </c>
      <c r="B29" s="127" t="n">
        <f aca="false">B9+B17+B20+B22</f>
        <v>638280178</v>
      </c>
      <c r="C29" s="128" t="n">
        <f aca="false">C9+C17+C20+C22</f>
        <v>713718735.33</v>
      </c>
      <c r="D29" s="127" t="n">
        <f aca="false">(B29-C29)/ABS(C29)*100</f>
        <v>-10.5697880125172</v>
      </c>
      <c r="E29" s="93"/>
    </row>
    <row r="30" customFormat="false" ht="15.75" hidden="false" customHeight="true" outlineLevel="0" collapsed="false">
      <c r="A30" s="134" t="s">
        <v>150</v>
      </c>
      <c r="B30" s="129" t="n">
        <f aca="false">B12+B14+B15+B18+B19+B23+B27+B28</f>
        <v>-615499409</v>
      </c>
      <c r="C30" s="130" t="n">
        <f aca="false">C12+C14+C15+C18+C19+C23+C27+C28</f>
        <v>-710327792.76</v>
      </c>
      <c r="D30" s="129" t="n">
        <f aca="false">(B30-C30)/ABS(C30)*100</f>
        <v>13.34994698596</v>
      </c>
      <c r="E30" s="93"/>
    </row>
    <row r="31" customFormat="false" ht="15.75" hidden="false" customHeight="true" outlineLevel="0" collapsed="false">
      <c r="A31" s="134" t="s">
        <v>151</v>
      </c>
      <c r="B31" s="129" t="n">
        <f aca="false">B29+B30</f>
        <v>22780769</v>
      </c>
      <c r="C31" s="130" t="n">
        <f aca="false">C29+C30</f>
        <v>3390942.57000005</v>
      </c>
      <c r="D31" s="129" t="n">
        <f aca="false">(B31-C31)/ABS(C31)*100</f>
        <v>571.812292002328</v>
      </c>
      <c r="E31" s="93"/>
    </row>
    <row r="32" customFormat="false" ht="15.75" hidden="false" customHeight="true" outlineLevel="0" collapsed="false">
      <c r="A32" s="135" t="s">
        <v>152</v>
      </c>
      <c r="B32" s="136"/>
      <c r="C32" s="136"/>
      <c r="D32" s="136"/>
      <c r="E32" s="93"/>
    </row>
    <row r="33" customFormat="false" ht="15.75" hidden="false" customHeight="true" outlineLevel="0" collapsed="false">
      <c r="A33" s="135" t="s">
        <v>153</v>
      </c>
      <c r="B33" s="137"/>
      <c r="C33" s="137"/>
      <c r="D33" s="137"/>
      <c r="E33" s="93"/>
    </row>
    <row r="34" customFormat="false" ht="15.75" hidden="false" customHeight="true" outlineLevel="0" collapsed="false">
      <c r="A34" s="126" t="s">
        <v>154</v>
      </c>
      <c r="B34" s="129" t="n">
        <f aca="false">B31+B32-B33</f>
        <v>22780769</v>
      </c>
      <c r="C34" s="138" t="n">
        <f aca="false">C31+C32-C33</f>
        <v>3390942.57000005</v>
      </c>
      <c r="D34" s="129" t="n">
        <f aca="false">(B34-C34)/ABS(C34)*100</f>
        <v>571.812292002328</v>
      </c>
      <c r="E34" s="93"/>
    </row>
    <row r="35" customFormat="false" ht="15.75" hidden="false" customHeight="true" outlineLevel="0" collapsed="false">
      <c r="A35" s="139" t="s">
        <v>155</v>
      </c>
      <c r="B35" s="140" t="n">
        <f aca="false">+B34-B19-B20</f>
        <v>129006469</v>
      </c>
      <c r="C35" s="140" t="n">
        <f aca="false">+C34-C19-C20</f>
        <v>-5842585.77999995</v>
      </c>
      <c r="D35" s="2"/>
      <c r="E35" s="139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customFormat="false" ht="15.75" hidden="false" customHeight="true" outlineLevel="0" collapsed="false">
      <c r="E36" s="93"/>
    </row>
    <row r="37" customFormat="false" ht="15.75" hidden="false" customHeight="true" outlineLevel="0" collapsed="false">
      <c r="C37" s="141"/>
      <c r="E37" s="93"/>
    </row>
    <row r="38" customFormat="false" ht="15.75" hidden="false" customHeight="true" outlineLevel="0" collapsed="false">
      <c r="E38" s="93"/>
    </row>
    <row r="39" customFormat="false" ht="15.75" hidden="false" customHeight="true" outlineLevel="0" collapsed="false">
      <c r="B39" s="2" t="s">
        <v>156</v>
      </c>
      <c r="C39" s="142" t="s">
        <v>157</v>
      </c>
      <c r="D39" s="93"/>
    </row>
    <row r="40" customFormat="false" ht="15.75" hidden="false" customHeight="true" outlineLevel="0" collapsed="false">
      <c r="A40" s="143" t="s">
        <v>36</v>
      </c>
      <c r="B40" s="93" t="n">
        <f aca="false">PASSIF!B16/1000000</f>
        <v>149.927665</v>
      </c>
      <c r="C40" s="93" t="n">
        <f aca="false">(ACTIF!B6+ACTIF!B7+ACTIF!B12)/1000000</f>
        <v>82.502586</v>
      </c>
      <c r="D40" s="93"/>
    </row>
    <row r="41" customFormat="false" ht="15.75" hidden="false" customHeight="true" outlineLevel="0" collapsed="false">
      <c r="A41" s="144" t="s">
        <v>158</v>
      </c>
      <c r="B41" s="93" t="n">
        <f aca="false">PASSIF!B16/1000000</f>
        <v>149.927665</v>
      </c>
      <c r="C41" s="93" t="n">
        <f aca="false">1411218208.18/1000000</f>
        <v>1411.21820818</v>
      </c>
      <c r="D41" s="93"/>
    </row>
    <row r="42" customFormat="false" ht="15.75" hidden="false" customHeight="true" outlineLevel="0" collapsed="false">
      <c r="E42" s="93"/>
    </row>
    <row r="43" customFormat="false" ht="15.75" hidden="false" customHeight="true" outlineLevel="0" collapsed="false">
      <c r="E43" s="93"/>
    </row>
    <row r="44" customFormat="false" ht="15.75" hidden="false" customHeight="true" outlineLevel="0" collapsed="false">
      <c r="E44" s="93"/>
    </row>
    <row r="45" customFormat="false" ht="15.75" hidden="false" customHeight="true" outlineLevel="0" collapsed="false">
      <c r="E45" s="93"/>
    </row>
    <row r="46" customFormat="false" ht="15.75" hidden="false" customHeight="true" outlineLevel="0" collapsed="false">
      <c r="E46" s="93"/>
    </row>
    <row r="47" customFormat="false" ht="15.75" hidden="false" customHeight="true" outlineLevel="0" collapsed="false">
      <c r="E47" s="93"/>
    </row>
    <row r="48" customFormat="false" ht="15.75" hidden="false" customHeight="true" outlineLevel="0" collapsed="false">
      <c r="E48" s="93"/>
    </row>
    <row r="49" customFormat="false" ht="15.75" hidden="false" customHeight="true" outlineLevel="0" collapsed="false">
      <c r="E49" s="93"/>
    </row>
    <row r="50" customFormat="false" ht="15.75" hidden="false" customHeight="true" outlineLevel="0" collapsed="false">
      <c r="E50" s="93"/>
    </row>
    <row r="51" customFormat="false" ht="15.75" hidden="false" customHeight="true" outlineLevel="0" collapsed="false">
      <c r="E51" s="93"/>
    </row>
    <row r="52" customFormat="false" ht="15.75" hidden="false" customHeight="true" outlineLevel="0" collapsed="false">
      <c r="E52" s="93"/>
    </row>
    <row r="53" customFormat="false" ht="15.75" hidden="false" customHeight="true" outlineLevel="0" collapsed="false">
      <c r="E53" s="93"/>
    </row>
    <row r="54" customFormat="false" ht="15.75" hidden="false" customHeight="true" outlineLevel="0" collapsed="false">
      <c r="E54" s="93"/>
    </row>
    <row r="55" customFormat="false" ht="15.75" hidden="false" customHeight="true" outlineLevel="0" collapsed="false">
      <c r="E55" s="93"/>
    </row>
    <row r="56" customFormat="false" ht="15.75" hidden="false" customHeight="true" outlineLevel="0" collapsed="false">
      <c r="E56" s="93"/>
    </row>
    <row r="57" customFormat="false" ht="15.75" hidden="false" customHeight="true" outlineLevel="0" collapsed="false">
      <c r="E57" s="93"/>
    </row>
    <row r="58" customFormat="false" ht="15.75" hidden="false" customHeight="true" outlineLevel="0" collapsed="false">
      <c r="E58" s="93"/>
    </row>
    <row r="59" customFormat="false" ht="15.75" hidden="false" customHeight="true" outlineLevel="0" collapsed="false">
      <c r="E59" s="93"/>
    </row>
    <row r="60" customFormat="false" ht="15.75" hidden="false" customHeight="true" outlineLevel="0" collapsed="false">
      <c r="E60" s="93"/>
    </row>
    <row r="61" customFormat="false" ht="15.75" hidden="false" customHeight="true" outlineLevel="0" collapsed="false">
      <c r="E61" s="93"/>
    </row>
    <row r="62" customFormat="false" ht="15.75" hidden="false" customHeight="true" outlineLevel="0" collapsed="false">
      <c r="E62" s="93"/>
    </row>
    <row r="63" customFormat="false" ht="15.75" hidden="false" customHeight="true" outlineLevel="0" collapsed="false">
      <c r="E63" s="93"/>
    </row>
    <row r="64" customFormat="false" ht="15.75" hidden="false" customHeight="true" outlineLevel="0" collapsed="false">
      <c r="E64" s="93"/>
    </row>
    <row r="65" customFormat="false" ht="15.75" hidden="false" customHeight="true" outlineLevel="0" collapsed="false">
      <c r="E65" s="93"/>
    </row>
    <row r="66" customFormat="false" ht="15.75" hidden="false" customHeight="true" outlineLevel="0" collapsed="false">
      <c r="E66" s="93"/>
    </row>
    <row r="67" customFormat="false" ht="15.75" hidden="false" customHeight="true" outlineLevel="0" collapsed="false">
      <c r="E67" s="93"/>
    </row>
    <row r="68" customFormat="false" ht="15.75" hidden="false" customHeight="true" outlineLevel="0" collapsed="false">
      <c r="E68" s="93"/>
    </row>
    <row r="69" customFormat="false" ht="15.75" hidden="false" customHeight="true" outlineLevel="0" collapsed="false">
      <c r="E69" s="93"/>
    </row>
    <row r="70" customFormat="false" ht="15.75" hidden="false" customHeight="true" outlineLevel="0" collapsed="false">
      <c r="E70" s="93"/>
    </row>
    <row r="71" customFormat="false" ht="15.75" hidden="false" customHeight="true" outlineLevel="0" collapsed="false">
      <c r="E71" s="93"/>
    </row>
    <row r="72" customFormat="false" ht="15.75" hidden="false" customHeight="true" outlineLevel="0" collapsed="false">
      <c r="E72" s="93"/>
    </row>
    <row r="73" customFormat="false" ht="15.75" hidden="false" customHeight="true" outlineLevel="0" collapsed="false">
      <c r="E73" s="93"/>
    </row>
    <row r="74" customFormat="false" ht="15.75" hidden="false" customHeight="true" outlineLevel="0" collapsed="false">
      <c r="E74" s="93"/>
    </row>
    <row r="75" customFormat="false" ht="15.75" hidden="false" customHeight="true" outlineLevel="0" collapsed="false">
      <c r="E75" s="93"/>
    </row>
    <row r="76" customFormat="false" ht="15.75" hidden="false" customHeight="true" outlineLevel="0" collapsed="false">
      <c r="E76" s="93"/>
    </row>
    <row r="77" customFormat="false" ht="15.75" hidden="false" customHeight="true" outlineLevel="0" collapsed="false">
      <c r="E77" s="93"/>
    </row>
    <row r="78" customFormat="false" ht="15.75" hidden="false" customHeight="true" outlineLevel="0" collapsed="false">
      <c r="E78" s="93"/>
    </row>
    <row r="79" customFormat="false" ht="15.75" hidden="false" customHeight="true" outlineLevel="0" collapsed="false">
      <c r="E79" s="93"/>
    </row>
    <row r="80" customFormat="false" ht="15.75" hidden="false" customHeight="true" outlineLevel="0" collapsed="false">
      <c r="E80" s="93"/>
    </row>
    <row r="81" customFormat="false" ht="15.75" hidden="false" customHeight="true" outlineLevel="0" collapsed="false">
      <c r="E81" s="93"/>
    </row>
    <row r="82" customFormat="false" ht="15.75" hidden="false" customHeight="true" outlineLevel="0" collapsed="false">
      <c r="E82" s="93"/>
    </row>
    <row r="83" customFormat="false" ht="15.75" hidden="false" customHeight="true" outlineLevel="0" collapsed="false">
      <c r="E83" s="93"/>
    </row>
    <row r="84" customFormat="false" ht="15.75" hidden="false" customHeight="true" outlineLevel="0" collapsed="false">
      <c r="E84" s="93"/>
    </row>
    <row r="85" customFormat="false" ht="15.75" hidden="false" customHeight="true" outlineLevel="0" collapsed="false">
      <c r="E85" s="93"/>
    </row>
    <row r="86" customFormat="false" ht="15.75" hidden="false" customHeight="true" outlineLevel="0" collapsed="false">
      <c r="E86" s="93"/>
    </row>
    <row r="87" customFormat="false" ht="15.75" hidden="false" customHeight="true" outlineLevel="0" collapsed="false">
      <c r="E87" s="93"/>
    </row>
    <row r="88" customFormat="false" ht="15.75" hidden="false" customHeight="true" outlineLevel="0" collapsed="false">
      <c r="E88" s="93"/>
    </row>
    <row r="89" customFormat="false" ht="15.75" hidden="false" customHeight="true" outlineLevel="0" collapsed="false">
      <c r="E89" s="93"/>
    </row>
    <row r="90" customFormat="false" ht="15.75" hidden="false" customHeight="true" outlineLevel="0" collapsed="false">
      <c r="E90" s="93"/>
    </row>
    <row r="91" customFormat="false" ht="15.75" hidden="false" customHeight="true" outlineLevel="0" collapsed="false">
      <c r="E91" s="93"/>
    </row>
    <row r="92" customFormat="false" ht="15.75" hidden="false" customHeight="true" outlineLevel="0" collapsed="false">
      <c r="E92" s="93"/>
    </row>
    <row r="93" customFormat="false" ht="15.75" hidden="false" customHeight="true" outlineLevel="0" collapsed="false">
      <c r="E93" s="93"/>
    </row>
    <row r="94" customFormat="false" ht="15.75" hidden="false" customHeight="true" outlineLevel="0" collapsed="false">
      <c r="E94" s="93"/>
    </row>
    <row r="95" customFormat="false" ht="15.75" hidden="false" customHeight="true" outlineLevel="0" collapsed="false">
      <c r="E95" s="93"/>
    </row>
    <row r="96" customFormat="false" ht="15.75" hidden="false" customHeight="true" outlineLevel="0" collapsed="false">
      <c r="E96" s="93"/>
    </row>
    <row r="97" customFormat="false" ht="15.75" hidden="false" customHeight="true" outlineLevel="0" collapsed="false">
      <c r="E97" s="93"/>
    </row>
    <row r="98" customFormat="false" ht="15.75" hidden="false" customHeight="true" outlineLevel="0" collapsed="false">
      <c r="E98" s="93"/>
    </row>
    <row r="99" customFormat="false" ht="15.75" hidden="false" customHeight="true" outlineLevel="0" collapsed="false">
      <c r="E99" s="93"/>
    </row>
    <row r="100" customFormat="false" ht="15.75" hidden="false" customHeight="true" outlineLevel="0" collapsed="false">
      <c r="E100" s="93"/>
    </row>
    <row r="101" customFormat="false" ht="15.75" hidden="false" customHeight="true" outlineLevel="0" collapsed="false">
      <c r="E101" s="93"/>
    </row>
    <row r="102" customFormat="false" ht="15.75" hidden="false" customHeight="true" outlineLevel="0" collapsed="false">
      <c r="E102" s="93"/>
    </row>
    <row r="103" customFormat="false" ht="15.75" hidden="false" customHeight="true" outlineLevel="0" collapsed="false">
      <c r="E103" s="93"/>
    </row>
    <row r="104" customFormat="false" ht="15.75" hidden="false" customHeight="true" outlineLevel="0" collapsed="false">
      <c r="E104" s="93"/>
    </row>
    <row r="105" customFormat="false" ht="15.75" hidden="false" customHeight="true" outlineLevel="0" collapsed="false">
      <c r="E105" s="93"/>
    </row>
    <row r="106" customFormat="false" ht="15.75" hidden="false" customHeight="true" outlineLevel="0" collapsed="false">
      <c r="E106" s="93"/>
    </row>
    <row r="107" customFormat="false" ht="15.75" hidden="false" customHeight="true" outlineLevel="0" collapsed="false">
      <c r="E107" s="93"/>
    </row>
    <row r="108" customFormat="false" ht="15.75" hidden="false" customHeight="true" outlineLevel="0" collapsed="false">
      <c r="E108" s="93"/>
    </row>
    <row r="109" customFormat="false" ht="15.75" hidden="false" customHeight="true" outlineLevel="0" collapsed="false">
      <c r="E109" s="93"/>
    </row>
    <row r="110" customFormat="false" ht="15.75" hidden="false" customHeight="true" outlineLevel="0" collapsed="false">
      <c r="E110" s="93"/>
    </row>
    <row r="111" customFormat="false" ht="15.75" hidden="false" customHeight="true" outlineLevel="0" collapsed="false">
      <c r="E111" s="93"/>
    </row>
    <row r="112" customFormat="false" ht="15.75" hidden="false" customHeight="true" outlineLevel="0" collapsed="false">
      <c r="E112" s="93"/>
    </row>
    <row r="113" customFormat="false" ht="15.75" hidden="false" customHeight="true" outlineLevel="0" collapsed="false">
      <c r="E113" s="93"/>
    </row>
    <row r="114" customFormat="false" ht="15.75" hidden="false" customHeight="true" outlineLevel="0" collapsed="false">
      <c r="E114" s="93"/>
    </row>
    <row r="115" customFormat="false" ht="15.75" hidden="false" customHeight="true" outlineLevel="0" collapsed="false">
      <c r="E115" s="93"/>
    </row>
    <row r="116" customFormat="false" ht="15.75" hidden="false" customHeight="true" outlineLevel="0" collapsed="false">
      <c r="E116" s="93"/>
    </row>
    <row r="117" customFormat="false" ht="15.75" hidden="false" customHeight="true" outlineLevel="0" collapsed="false">
      <c r="E117" s="93"/>
    </row>
    <row r="118" customFormat="false" ht="15.75" hidden="false" customHeight="true" outlineLevel="0" collapsed="false">
      <c r="E118" s="93"/>
    </row>
    <row r="119" customFormat="false" ht="15.75" hidden="false" customHeight="true" outlineLevel="0" collapsed="false">
      <c r="E119" s="93"/>
    </row>
    <row r="120" customFormat="false" ht="15.75" hidden="false" customHeight="true" outlineLevel="0" collapsed="false">
      <c r="E120" s="93"/>
    </row>
    <row r="121" customFormat="false" ht="15.75" hidden="false" customHeight="true" outlineLevel="0" collapsed="false">
      <c r="E121" s="93"/>
    </row>
    <row r="122" customFormat="false" ht="15.75" hidden="false" customHeight="true" outlineLevel="0" collapsed="false">
      <c r="E122" s="93"/>
    </row>
    <row r="123" customFormat="false" ht="15.75" hidden="false" customHeight="true" outlineLevel="0" collapsed="false">
      <c r="E123" s="93"/>
    </row>
    <row r="124" customFormat="false" ht="15.75" hidden="false" customHeight="true" outlineLevel="0" collapsed="false">
      <c r="E124" s="93"/>
    </row>
    <row r="125" customFormat="false" ht="15.75" hidden="false" customHeight="true" outlineLevel="0" collapsed="false">
      <c r="E125" s="93"/>
    </row>
    <row r="126" customFormat="false" ht="15.75" hidden="false" customHeight="true" outlineLevel="0" collapsed="false">
      <c r="E126" s="93"/>
    </row>
    <row r="127" customFormat="false" ht="15.75" hidden="false" customHeight="true" outlineLevel="0" collapsed="false">
      <c r="E127" s="93"/>
    </row>
    <row r="128" customFormat="false" ht="15.75" hidden="false" customHeight="true" outlineLevel="0" collapsed="false">
      <c r="E128" s="93"/>
    </row>
    <row r="129" customFormat="false" ht="15.75" hidden="false" customHeight="true" outlineLevel="0" collapsed="false">
      <c r="E129" s="93"/>
    </row>
    <row r="130" customFormat="false" ht="15.75" hidden="false" customHeight="true" outlineLevel="0" collapsed="false">
      <c r="E130" s="93"/>
    </row>
    <row r="131" customFormat="false" ht="15.75" hidden="false" customHeight="true" outlineLevel="0" collapsed="false">
      <c r="E131" s="93"/>
    </row>
    <row r="132" customFormat="false" ht="15.75" hidden="false" customHeight="true" outlineLevel="0" collapsed="false">
      <c r="E132" s="93"/>
    </row>
    <row r="133" customFormat="false" ht="15.75" hidden="false" customHeight="true" outlineLevel="0" collapsed="false">
      <c r="E133" s="93"/>
    </row>
    <row r="134" customFormat="false" ht="15.75" hidden="false" customHeight="true" outlineLevel="0" collapsed="false">
      <c r="E134" s="93"/>
    </row>
    <row r="135" customFormat="false" ht="15.75" hidden="false" customHeight="true" outlineLevel="0" collapsed="false">
      <c r="E135" s="93"/>
    </row>
    <row r="136" customFormat="false" ht="15.75" hidden="false" customHeight="true" outlineLevel="0" collapsed="false">
      <c r="E136" s="93"/>
    </row>
    <row r="137" customFormat="false" ht="15.75" hidden="false" customHeight="true" outlineLevel="0" collapsed="false">
      <c r="E137" s="93"/>
    </row>
    <row r="138" customFormat="false" ht="15.75" hidden="false" customHeight="true" outlineLevel="0" collapsed="false">
      <c r="E138" s="93"/>
    </row>
    <row r="139" customFormat="false" ht="15.75" hidden="false" customHeight="true" outlineLevel="0" collapsed="false">
      <c r="E139" s="93"/>
    </row>
    <row r="140" customFormat="false" ht="15.75" hidden="false" customHeight="true" outlineLevel="0" collapsed="false">
      <c r="E140" s="93"/>
    </row>
    <row r="141" customFormat="false" ht="15.75" hidden="false" customHeight="true" outlineLevel="0" collapsed="false">
      <c r="E141" s="93"/>
    </row>
    <row r="142" customFormat="false" ht="15.75" hidden="false" customHeight="true" outlineLevel="0" collapsed="false">
      <c r="E142" s="93"/>
    </row>
    <row r="143" customFormat="false" ht="15.75" hidden="false" customHeight="true" outlineLevel="0" collapsed="false">
      <c r="E143" s="93"/>
    </row>
    <row r="144" customFormat="false" ht="15.75" hidden="false" customHeight="true" outlineLevel="0" collapsed="false">
      <c r="E144" s="93"/>
    </row>
    <row r="145" customFormat="false" ht="15.75" hidden="false" customHeight="true" outlineLevel="0" collapsed="false">
      <c r="E145" s="93"/>
    </row>
    <row r="146" customFormat="false" ht="15.75" hidden="false" customHeight="true" outlineLevel="0" collapsed="false">
      <c r="E146" s="93"/>
    </row>
    <row r="147" customFormat="false" ht="15.75" hidden="false" customHeight="true" outlineLevel="0" collapsed="false">
      <c r="E147" s="93"/>
    </row>
    <row r="148" customFormat="false" ht="15.75" hidden="false" customHeight="true" outlineLevel="0" collapsed="false">
      <c r="E148" s="93"/>
    </row>
    <row r="149" customFormat="false" ht="15.75" hidden="false" customHeight="true" outlineLevel="0" collapsed="false">
      <c r="E149" s="93"/>
    </row>
    <row r="150" customFormat="false" ht="15.75" hidden="false" customHeight="true" outlineLevel="0" collapsed="false">
      <c r="E150" s="93"/>
    </row>
    <row r="151" customFormat="false" ht="15.75" hidden="false" customHeight="true" outlineLevel="0" collapsed="false">
      <c r="E151" s="93"/>
    </row>
    <row r="152" customFormat="false" ht="15.75" hidden="false" customHeight="true" outlineLevel="0" collapsed="false">
      <c r="E152" s="93"/>
    </row>
    <row r="153" customFormat="false" ht="15.75" hidden="false" customHeight="true" outlineLevel="0" collapsed="false">
      <c r="E153" s="93"/>
    </row>
    <row r="154" customFormat="false" ht="15.75" hidden="false" customHeight="true" outlineLevel="0" collapsed="false">
      <c r="E154" s="93"/>
    </row>
    <row r="155" customFormat="false" ht="15.75" hidden="false" customHeight="true" outlineLevel="0" collapsed="false">
      <c r="E155" s="93"/>
    </row>
    <row r="156" customFormat="false" ht="15.75" hidden="false" customHeight="true" outlineLevel="0" collapsed="false">
      <c r="E156" s="93"/>
    </row>
    <row r="157" customFormat="false" ht="15.75" hidden="false" customHeight="true" outlineLevel="0" collapsed="false">
      <c r="E157" s="93"/>
    </row>
    <row r="158" customFormat="false" ht="15.75" hidden="false" customHeight="true" outlineLevel="0" collapsed="false">
      <c r="E158" s="93"/>
    </row>
    <row r="159" customFormat="false" ht="15.75" hidden="false" customHeight="true" outlineLevel="0" collapsed="false">
      <c r="E159" s="93"/>
    </row>
    <row r="160" customFormat="false" ht="15.75" hidden="false" customHeight="true" outlineLevel="0" collapsed="false">
      <c r="E160" s="93"/>
    </row>
    <row r="161" customFormat="false" ht="15.75" hidden="false" customHeight="true" outlineLevel="0" collapsed="false">
      <c r="E161" s="93"/>
    </row>
    <row r="162" customFormat="false" ht="15.75" hidden="false" customHeight="true" outlineLevel="0" collapsed="false">
      <c r="E162" s="93"/>
    </row>
    <row r="163" customFormat="false" ht="15.75" hidden="false" customHeight="true" outlineLevel="0" collapsed="false">
      <c r="E163" s="93"/>
    </row>
    <row r="164" customFormat="false" ht="15.75" hidden="false" customHeight="true" outlineLevel="0" collapsed="false">
      <c r="E164" s="93"/>
    </row>
    <row r="165" customFormat="false" ht="15.75" hidden="false" customHeight="true" outlineLevel="0" collapsed="false">
      <c r="E165" s="93"/>
    </row>
    <row r="166" customFormat="false" ht="15.75" hidden="false" customHeight="true" outlineLevel="0" collapsed="false">
      <c r="E166" s="93"/>
    </row>
    <row r="167" customFormat="false" ht="15.75" hidden="false" customHeight="true" outlineLevel="0" collapsed="false">
      <c r="E167" s="93"/>
    </row>
    <row r="168" customFormat="false" ht="15.75" hidden="false" customHeight="true" outlineLevel="0" collapsed="false">
      <c r="E168" s="93"/>
    </row>
    <row r="169" customFormat="false" ht="15.75" hidden="false" customHeight="true" outlineLevel="0" collapsed="false">
      <c r="E169" s="93"/>
    </row>
    <row r="170" customFormat="false" ht="15.75" hidden="false" customHeight="true" outlineLevel="0" collapsed="false">
      <c r="E170" s="93"/>
    </row>
    <row r="171" customFormat="false" ht="15.75" hidden="false" customHeight="true" outlineLevel="0" collapsed="false">
      <c r="E171" s="93"/>
    </row>
    <row r="172" customFormat="false" ht="15.75" hidden="false" customHeight="true" outlineLevel="0" collapsed="false">
      <c r="E172" s="93"/>
    </row>
    <row r="173" customFormat="false" ht="15.75" hidden="false" customHeight="true" outlineLevel="0" collapsed="false">
      <c r="E173" s="93"/>
    </row>
    <row r="174" customFormat="false" ht="15.75" hidden="false" customHeight="true" outlineLevel="0" collapsed="false">
      <c r="E174" s="93"/>
    </row>
    <row r="175" customFormat="false" ht="15.75" hidden="false" customHeight="true" outlineLevel="0" collapsed="false">
      <c r="E175" s="93"/>
    </row>
    <row r="176" customFormat="false" ht="15.75" hidden="false" customHeight="true" outlineLevel="0" collapsed="false">
      <c r="E176" s="93"/>
    </row>
    <row r="177" customFormat="false" ht="15.75" hidden="false" customHeight="true" outlineLevel="0" collapsed="false">
      <c r="E177" s="93"/>
    </row>
    <row r="178" customFormat="false" ht="15.75" hidden="false" customHeight="true" outlineLevel="0" collapsed="false">
      <c r="E178" s="93"/>
    </row>
    <row r="179" customFormat="false" ht="15.75" hidden="false" customHeight="true" outlineLevel="0" collapsed="false">
      <c r="E179" s="93"/>
    </row>
    <row r="180" customFormat="false" ht="15.75" hidden="false" customHeight="true" outlineLevel="0" collapsed="false">
      <c r="E180" s="93"/>
    </row>
    <row r="181" customFormat="false" ht="15.75" hidden="false" customHeight="true" outlineLevel="0" collapsed="false">
      <c r="E181" s="93"/>
    </row>
    <row r="182" customFormat="false" ht="15.75" hidden="false" customHeight="true" outlineLevel="0" collapsed="false">
      <c r="E182" s="93"/>
    </row>
    <row r="183" customFormat="false" ht="15.75" hidden="false" customHeight="true" outlineLevel="0" collapsed="false">
      <c r="E183" s="93"/>
    </row>
    <row r="184" customFormat="false" ht="15.75" hidden="false" customHeight="true" outlineLevel="0" collapsed="false">
      <c r="E184" s="93"/>
    </row>
    <row r="185" customFormat="false" ht="15.75" hidden="false" customHeight="true" outlineLevel="0" collapsed="false">
      <c r="E185" s="93"/>
    </row>
    <row r="186" customFormat="false" ht="15.75" hidden="false" customHeight="true" outlineLevel="0" collapsed="false">
      <c r="E186" s="93"/>
    </row>
    <row r="187" customFormat="false" ht="15.75" hidden="false" customHeight="true" outlineLevel="0" collapsed="false">
      <c r="E187" s="93"/>
    </row>
    <row r="188" customFormat="false" ht="15.75" hidden="false" customHeight="true" outlineLevel="0" collapsed="false">
      <c r="E188" s="93"/>
    </row>
    <row r="189" customFormat="false" ht="15.75" hidden="false" customHeight="true" outlineLevel="0" collapsed="false">
      <c r="E189" s="93"/>
    </row>
    <row r="190" customFormat="false" ht="15.75" hidden="false" customHeight="true" outlineLevel="0" collapsed="false">
      <c r="E190" s="93"/>
    </row>
    <row r="191" customFormat="false" ht="15.75" hidden="false" customHeight="true" outlineLevel="0" collapsed="false">
      <c r="E191" s="93"/>
    </row>
    <row r="192" customFormat="false" ht="15.75" hidden="false" customHeight="true" outlineLevel="0" collapsed="false">
      <c r="E192" s="93"/>
    </row>
    <row r="193" customFormat="false" ht="15.75" hidden="false" customHeight="true" outlineLevel="0" collapsed="false">
      <c r="E193" s="93"/>
    </row>
    <row r="194" customFormat="false" ht="15.75" hidden="false" customHeight="true" outlineLevel="0" collapsed="false">
      <c r="E194" s="93"/>
    </row>
    <row r="195" customFormat="false" ht="15.75" hidden="false" customHeight="true" outlineLevel="0" collapsed="false">
      <c r="E195" s="93"/>
    </row>
    <row r="196" customFormat="false" ht="15.75" hidden="false" customHeight="true" outlineLevel="0" collapsed="false">
      <c r="E196" s="93"/>
    </row>
    <row r="197" customFormat="false" ht="15.75" hidden="false" customHeight="true" outlineLevel="0" collapsed="false">
      <c r="E197" s="93"/>
    </row>
    <row r="198" customFormat="false" ht="15.75" hidden="false" customHeight="true" outlineLevel="0" collapsed="false">
      <c r="E198" s="93"/>
    </row>
    <row r="199" customFormat="false" ht="15.75" hidden="false" customHeight="true" outlineLevel="0" collapsed="false">
      <c r="E199" s="93"/>
    </row>
    <row r="200" customFormat="false" ht="15.75" hidden="false" customHeight="true" outlineLevel="0" collapsed="false">
      <c r="E200" s="93"/>
    </row>
    <row r="201" customFormat="false" ht="15.75" hidden="false" customHeight="true" outlineLevel="0" collapsed="false">
      <c r="E201" s="93"/>
    </row>
    <row r="202" customFormat="false" ht="15.75" hidden="false" customHeight="true" outlineLevel="0" collapsed="false">
      <c r="E202" s="93"/>
    </row>
    <row r="203" customFormat="false" ht="15.75" hidden="false" customHeight="true" outlineLevel="0" collapsed="false">
      <c r="E203" s="93"/>
    </row>
    <row r="204" customFormat="false" ht="15.75" hidden="false" customHeight="true" outlineLevel="0" collapsed="false">
      <c r="E204" s="93"/>
    </row>
    <row r="205" customFormat="false" ht="15.75" hidden="false" customHeight="true" outlineLevel="0" collapsed="false">
      <c r="E205" s="93"/>
    </row>
    <row r="206" customFormat="false" ht="15.75" hidden="false" customHeight="true" outlineLevel="0" collapsed="false">
      <c r="E206" s="93"/>
    </row>
    <row r="207" customFormat="false" ht="15.75" hidden="false" customHeight="true" outlineLevel="0" collapsed="false">
      <c r="E207" s="93"/>
    </row>
    <row r="208" customFormat="false" ht="15.75" hidden="false" customHeight="true" outlineLevel="0" collapsed="false">
      <c r="E208" s="93"/>
    </row>
    <row r="209" customFormat="false" ht="15.75" hidden="false" customHeight="true" outlineLevel="0" collapsed="false">
      <c r="E209" s="93"/>
    </row>
    <row r="210" customFormat="false" ht="15.75" hidden="false" customHeight="true" outlineLevel="0" collapsed="false">
      <c r="E210" s="93"/>
    </row>
    <row r="211" customFormat="false" ht="15.75" hidden="false" customHeight="true" outlineLevel="0" collapsed="false">
      <c r="E211" s="93"/>
    </row>
    <row r="212" customFormat="false" ht="15.75" hidden="false" customHeight="true" outlineLevel="0" collapsed="false">
      <c r="E212" s="93"/>
    </row>
    <row r="213" customFormat="false" ht="15.75" hidden="false" customHeight="true" outlineLevel="0" collapsed="false">
      <c r="E213" s="93"/>
    </row>
    <row r="214" customFormat="false" ht="15.75" hidden="false" customHeight="true" outlineLevel="0" collapsed="false">
      <c r="E214" s="93"/>
    </row>
    <row r="215" customFormat="false" ht="15.75" hidden="false" customHeight="true" outlineLevel="0" collapsed="false">
      <c r="E215" s="93"/>
    </row>
    <row r="216" customFormat="false" ht="15.75" hidden="false" customHeight="true" outlineLevel="0" collapsed="false">
      <c r="E216" s="93"/>
    </row>
    <row r="217" customFormat="false" ht="15.75" hidden="false" customHeight="true" outlineLevel="0" collapsed="false">
      <c r="E217" s="93"/>
    </row>
    <row r="218" customFormat="false" ht="15.75" hidden="false" customHeight="true" outlineLevel="0" collapsed="false">
      <c r="E218" s="93"/>
    </row>
    <row r="219" customFormat="false" ht="15.75" hidden="false" customHeight="true" outlineLevel="0" collapsed="false">
      <c r="E219" s="93"/>
    </row>
    <row r="220" customFormat="false" ht="15.75" hidden="false" customHeight="true" outlineLevel="0" collapsed="false">
      <c r="E220" s="93"/>
    </row>
    <row r="221" customFormat="false" ht="15.75" hidden="false" customHeight="true" outlineLevel="0" collapsed="false">
      <c r="E221" s="93"/>
    </row>
    <row r="222" customFormat="false" ht="15.75" hidden="false" customHeight="true" outlineLevel="0" collapsed="false">
      <c r="E222" s="93"/>
    </row>
    <row r="223" customFormat="false" ht="15.75" hidden="false" customHeight="true" outlineLevel="0" collapsed="false">
      <c r="E223" s="93"/>
    </row>
    <row r="224" customFormat="false" ht="15.75" hidden="false" customHeight="true" outlineLevel="0" collapsed="false">
      <c r="E224" s="93"/>
    </row>
    <row r="225" customFormat="false" ht="15.75" hidden="false" customHeight="true" outlineLevel="0" collapsed="false">
      <c r="E225" s="93"/>
    </row>
    <row r="226" customFormat="false" ht="15.75" hidden="false" customHeight="true" outlineLevel="0" collapsed="false">
      <c r="E226" s="93"/>
    </row>
    <row r="227" customFormat="false" ht="15.75" hidden="false" customHeight="true" outlineLevel="0" collapsed="false">
      <c r="E227" s="93"/>
    </row>
    <row r="228" customFormat="false" ht="15.75" hidden="false" customHeight="true" outlineLevel="0" collapsed="false">
      <c r="E228" s="93"/>
    </row>
    <row r="229" customFormat="false" ht="15.75" hidden="false" customHeight="true" outlineLevel="0" collapsed="false">
      <c r="E229" s="93"/>
    </row>
    <row r="230" customFormat="false" ht="15.75" hidden="false" customHeight="true" outlineLevel="0" collapsed="false">
      <c r="E230" s="93"/>
    </row>
    <row r="231" customFormat="false" ht="15.75" hidden="false" customHeight="true" outlineLevel="0" collapsed="false">
      <c r="E231" s="93"/>
    </row>
    <row r="232" customFormat="false" ht="15.75" hidden="false" customHeight="true" outlineLevel="0" collapsed="false">
      <c r="E232" s="93"/>
    </row>
    <row r="233" customFormat="false" ht="15.75" hidden="false" customHeight="true" outlineLevel="0" collapsed="false">
      <c r="E233" s="93"/>
    </row>
    <row r="234" customFormat="false" ht="15.75" hidden="false" customHeight="true" outlineLevel="0" collapsed="false">
      <c r="E234" s="93"/>
    </row>
    <row r="235" customFormat="false" ht="15.75" hidden="false" customHeight="true" outlineLevel="0" collapsed="false">
      <c r="E235" s="93"/>
    </row>
    <row r="236" customFormat="false" ht="15.75" hidden="false" customHeight="true" outlineLevel="0" collapsed="false">
      <c r="E236" s="93"/>
    </row>
    <row r="237" customFormat="false" ht="15.75" hidden="false" customHeight="true" outlineLevel="0" collapsed="false">
      <c r="E237" s="93"/>
    </row>
    <row r="238" customFormat="false" ht="15.75" hidden="false" customHeight="true" outlineLevel="0" collapsed="false">
      <c r="E238" s="93"/>
    </row>
    <row r="239" customFormat="false" ht="15.75" hidden="false" customHeight="true" outlineLevel="0" collapsed="false">
      <c r="E239" s="93"/>
    </row>
    <row r="240" customFormat="false" ht="15.75" hidden="false" customHeight="true" outlineLevel="0" collapsed="false">
      <c r="E240" s="93"/>
    </row>
    <row r="241" customFormat="false" ht="15.75" hidden="false" customHeight="true" outlineLevel="0" collapsed="false">
      <c r="E241" s="93"/>
    </row>
    <row r="242" customFormat="false" ht="15.75" hidden="false" customHeight="true" outlineLevel="0" collapsed="false">
      <c r="E242" s="93"/>
    </row>
    <row r="243" customFormat="false" ht="15.75" hidden="false" customHeight="true" outlineLevel="0" collapsed="false">
      <c r="E243" s="93"/>
    </row>
    <row r="244" customFormat="false" ht="15.75" hidden="false" customHeight="true" outlineLevel="0" collapsed="false">
      <c r="E244" s="93"/>
    </row>
    <row r="245" customFormat="false" ht="15.75" hidden="false" customHeight="true" outlineLevel="0" collapsed="false">
      <c r="E245" s="93"/>
    </row>
    <row r="246" customFormat="false" ht="15.75" hidden="false" customHeight="true" outlineLevel="0" collapsed="false">
      <c r="E246" s="93"/>
    </row>
    <row r="247" customFormat="false" ht="15.75" hidden="false" customHeight="true" outlineLevel="0" collapsed="false">
      <c r="E247" s="93"/>
    </row>
    <row r="248" customFormat="false" ht="15.75" hidden="false" customHeight="true" outlineLevel="0" collapsed="false">
      <c r="E248" s="93"/>
    </row>
    <row r="249" customFormat="false" ht="15.75" hidden="false" customHeight="true" outlineLevel="0" collapsed="false">
      <c r="E249" s="93"/>
    </row>
    <row r="250" customFormat="false" ht="15.75" hidden="false" customHeight="true" outlineLevel="0" collapsed="false">
      <c r="E250" s="93"/>
    </row>
    <row r="251" customFormat="false" ht="15.75" hidden="false" customHeight="true" outlineLevel="0" collapsed="false">
      <c r="E251" s="93"/>
    </row>
    <row r="252" customFormat="false" ht="15.75" hidden="false" customHeight="true" outlineLevel="0" collapsed="false">
      <c r="E252" s="93"/>
    </row>
    <row r="253" customFormat="false" ht="15.75" hidden="false" customHeight="true" outlineLevel="0" collapsed="false">
      <c r="E253" s="93"/>
    </row>
    <row r="254" customFormat="false" ht="15.75" hidden="false" customHeight="true" outlineLevel="0" collapsed="false">
      <c r="E254" s="93"/>
    </row>
    <row r="255" customFormat="false" ht="15.75" hidden="false" customHeight="true" outlineLevel="0" collapsed="false">
      <c r="E255" s="93"/>
    </row>
    <row r="256" customFormat="false" ht="15.75" hidden="false" customHeight="true" outlineLevel="0" collapsed="false">
      <c r="E256" s="93"/>
    </row>
    <row r="257" customFormat="false" ht="15.75" hidden="false" customHeight="true" outlineLevel="0" collapsed="false">
      <c r="E257" s="93"/>
    </row>
    <row r="258" customFormat="false" ht="15.75" hidden="false" customHeight="true" outlineLevel="0" collapsed="false">
      <c r="E258" s="93"/>
    </row>
    <row r="259" customFormat="false" ht="15.75" hidden="false" customHeight="true" outlineLevel="0" collapsed="false">
      <c r="E259" s="93"/>
    </row>
    <row r="260" customFormat="false" ht="15.75" hidden="false" customHeight="true" outlineLevel="0" collapsed="false">
      <c r="E260" s="93"/>
    </row>
    <row r="261" customFormat="false" ht="15.75" hidden="false" customHeight="true" outlineLevel="0" collapsed="false">
      <c r="E261" s="93"/>
    </row>
    <row r="262" customFormat="false" ht="15.75" hidden="false" customHeight="true" outlineLevel="0" collapsed="false">
      <c r="E262" s="93"/>
    </row>
    <row r="263" customFormat="false" ht="15.75" hidden="false" customHeight="true" outlineLevel="0" collapsed="false">
      <c r="E263" s="93"/>
    </row>
    <row r="264" customFormat="false" ht="15.75" hidden="false" customHeight="true" outlineLevel="0" collapsed="false">
      <c r="E264" s="93"/>
    </row>
    <row r="265" customFormat="false" ht="15.75" hidden="false" customHeight="true" outlineLevel="0" collapsed="false">
      <c r="E265" s="93"/>
    </row>
    <row r="266" customFormat="false" ht="15.75" hidden="false" customHeight="true" outlineLevel="0" collapsed="false">
      <c r="E266" s="93"/>
    </row>
    <row r="267" customFormat="false" ht="15.75" hidden="false" customHeight="true" outlineLevel="0" collapsed="false">
      <c r="E267" s="93"/>
    </row>
    <row r="268" customFormat="false" ht="15.75" hidden="false" customHeight="true" outlineLevel="0" collapsed="false">
      <c r="E268" s="93"/>
    </row>
    <row r="269" customFormat="false" ht="15.75" hidden="false" customHeight="true" outlineLevel="0" collapsed="false">
      <c r="E269" s="93"/>
    </row>
    <row r="270" customFormat="false" ht="15.75" hidden="false" customHeight="true" outlineLevel="0" collapsed="false">
      <c r="E270" s="93"/>
    </row>
    <row r="271" customFormat="false" ht="15.75" hidden="false" customHeight="true" outlineLevel="0" collapsed="false">
      <c r="E271" s="93"/>
    </row>
    <row r="272" customFormat="false" ht="15.75" hidden="false" customHeight="true" outlineLevel="0" collapsed="false">
      <c r="E272" s="93"/>
    </row>
    <row r="273" customFormat="false" ht="15.75" hidden="false" customHeight="true" outlineLevel="0" collapsed="false">
      <c r="E273" s="93"/>
    </row>
    <row r="274" customFormat="false" ht="15.75" hidden="false" customHeight="true" outlineLevel="0" collapsed="false">
      <c r="E274" s="93"/>
    </row>
    <row r="275" customFormat="false" ht="15.75" hidden="false" customHeight="true" outlineLevel="0" collapsed="false">
      <c r="E275" s="93"/>
    </row>
    <row r="276" customFormat="false" ht="15.75" hidden="false" customHeight="true" outlineLevel="0" collapsed="false">
      <c r="E276" s="93"/>
    </row>
    <row r="277" customFormat="false" ht="15.75" hidden="false" customHeight="true" outlineLevel="0" collapsed="false">
      <c r="E277" s="93"/>
    </row>
    <row r="278" customFormat="false" ht="15.75" hidden="false" customHeight="true" outlineLevel="0" collapsed="false">
      <c r="E278" s="93"/>
    </row>
    <row r="279" customFormat="false" ht="15.75" hidden="false" customHeight="true" outlineLevel="0" collapsed="false">
      <c r="E279" s="93"/>
    </row>
    <row r="280" customFormat="false" ht="15.75" hidden="false" customHeight="true" outlineLevel="0" collapsed="false">
      <c r="E280" s="93"/>
    </row>
    <row r="281" customFormat="false" ht="15.75" hidden="false" customHeight="true" outlineLevel="0" collapsed="false">
      <c r="E281" s="93"/>
    </row>
    <row r="282" customFormat="false" ht="15.75" hidden="false" customHeight="true" outlineLevel="0" collapsed="false">
      <c r="E282" s="93"/>
    </row>
    <row r="283" customFormat="false" ht="15.75" hidden="false" customHeight="true" outlineLevel="0" collapsed="false">
      <c r="E283" s="93"/>
    </row>
    <row r="284" customFormat="false" ht="15.75" hidden="false" customHeight="true" outlineLevel="0" collapsed="false">
      <c r="E284" s="93"/>
    </row>
    <row r="285" customFormat="false" ht="15.75" hidden="false" customHeight="true" outlineLevel="0" collapsed="false">
      <c r="E285" s="93"/>
    </row>
    <row r="286" customFormat="false" ht="15.75" hidden="false" customHeight="true" outlineLevel="0" collapsed="false">
      <c r="E286" s="93"/>
    </row>
    <row r="287" customFormat="false" ht="15.75" hidden="false" customHeight="true" outlineLevel="0" collapsed="false">
      <c r="E287" s="93"/>
    </row>
    <row r="288" customFormat="false" ht="15.75" hidden="false" customHeight="true" outlineLevel="0" collapsed="false">
      <c r="E288" s="93"/>
    </row>
    <row r="289" customFormat="false" ht="15.75" hidden="false" customHeight="true" outlineLevel="0" collapsed="false">
      <c r="E289" s="93"/>
    </row>
    <row r="290" customFormat="false" ht="15.75" hidden="false" customHeight="true" outlineLevel="0" collapsed="false">
      <c r="E290" s="93"/>
    </row>
    <row r="291" customFormat="false" ht="15.75" hidden="false" customHeight="true" outlineLevel="0" collapsed="false">
      <c r="E291" s="93"/>
    </row>
    <row r="292" customFormat="false" ht="15.75" hidden="false" customHeight="true" outlineLevel="0" collapsed="false">
      <c r="E292" s="93"/>
    </row>
    <row r="293" customFormat="false" ht="15.75" hidden="false" customHeight="true" outlineLevel="0" collapsed="false">
      <c r="E293" s="93"/>
    </row>
    <row r="294" customFormat="false" ht="15.75" hidden="false" customHeight="true" outlineLevel="0" collapsed="false">
      <c r="E294" s="93"/>
    </row>
    <row r="295" customFormat="false" ht="15.75" hidden="false" customHeight="true" outlineLevel="0" collapsed="false">
      <c r="E295" s="93"/>
    </row>
    <row r="296" customFormat="false" ht="15.75" hidden="false" customHeight="true" outlineLevel="0" collapsed="false">
      <c r="E296" s="93"/>
    </row>
    <row r="297" customFormat="false" ht="15.75" hidden="false" customHeight="true" outlineLevel="0" collapsed="false">
      <c r="E297" s="93"/>
    </row>
    <row r="298" customFormat="false" ht="15.75" hidden="false" customHeight="true" outlineLevel="0" collapsed="false">
      <c r="E298" s="93"/>
    </row>
    <row r="299" customFormat="false" ht="15.75" hidden="false" customHeight="true" outlineLevel="0" collapsed="false">
      <c r="E299" s="93"/>
    </row>
    <row r="300" customFormat="false" ht="15.75" hidden="false" customHeight="true" outlineLevel="0" collapsed="false">
      <c r="E300" s="93"/>
    </row>
    <row r="301" customFormat="false" ht="15.75" hidden="false" customHeight="true" outlineLevel="0" collapsed="false">
      <c r="E301" s="93"/>
    </row>
    <row r="302" customFormat="false" ht="15.75" hidden="false" customHeight="true" outlineLevel="0" collapsed="false">
      <c r="E302" s="93"/>
    </row>
    <row r="303" customFormat="false" ht="15.75" hidden="false" customHeight="true" outlineLevel="0" collapsed="false">
      <c r="E303" s="93"/>
    </row>
    <row r="304" customFormat="false" ht="15.75" hidden="false" customHeight="true" outlineLevel="0" collapsed="false">
      <c r="E304" s="93"/>
    </row>
    <row r="305" customFormat="false" ht="15.75" hidden="false" customHeight="true" outlineLevel="0" collapsed="false">
      <c r="E305" s="93"/>
    </row>
    <row r="306" customFormat="false" ht="15.75" hidden="false" customHeight="true" outlineLevel="0" collapsed="false">
      <c r="E306" s="93"/>
    </row>
    <row r="307" customFormat="false" ht="15.75" hidden="false" customHeight="true" outlineLevel="0" collapsed="false">
      <c r="E307" s="93"/>
    </row>
    <row r="308" customFormat="false" ht="15.75" hidden="false" customHeight="true" outlineLevel="0" collapsed="false">
      <c r="E308" s="93"/>
    </row>
    <row r="309" customFormat="false" ht="15.75" hidden="false" customHeight="true" outlineLevel="0" collapsed="false">
      <c r="E309" s="93"/>
    </row>
    <row r="310" customFormat="false" ht="15.75" hidden="false" customHeight="true" outlineLevel="0" collapsed="false">
      <c r="E310" s="93"/>
    </row>
    <row r="311" customFormat="false" ht="15.75" hidden="false" customHeight="true" outlineLevel="0" collapsed="false">
      <c r="E311" s="93"/>
    </row>
    <row r="312" customFormat="false" ht="15.75" hidden="false" customHeight="true" outlineLevel="0" collapsed="false">
      <c r="E312" s="93"/>
    </row>
    <row r="313" customFormat="false" ht="15.75" hidden="false" customHeight="true" outlineLevel="0" collapsed="false">
      <c r="E313" s="93"/>
    </row>
    <row r="314" customFormat="false" ht="15.75" hidden="false" customHeight="true" outlineLevel="0" collapsed="false">
      <c r="E314" s="93"/>
    </row>
    <row r="315" customFormat="false" ht="15.75" hidden="false" customHeight="true" outlineLevel="0" collapsed="false">
      <c r="E315" s="93"/>
    </row>
    <row r="316" customFormat="false" ht="15.75" hidden="false" customHeight="true" outlineLevel="0" collapsed="false">
      <c r="E316" s="93"/>
    </row>
    <row r="317" customFormat="false" ht="15.75" hidden="false" customHeight="true" outlineLevel="0" collapsed="false">
      <c r="E317" s="93"/>
    </row>
    <row r="318" customFormat="false" ht="15.75" hidden="false" customHeight="true" outlineLevel="0" collapsed="false">
      <c r="E318" s="93"/>
    </row>
    <row r="319" customFormat="false" ht="15.75" hidden="false" customHeight="true" outlineLevel="0" collapsed="false">
      <c r="E319" s="93"/>
    </row>
    <row r="320" customFormat="false" ht="15.75" hidden="false" customHeight="true" outlineLevel="0" collapsed="false">
      <c r="E320" s="93"/>
    </row>
    <row r="321" customFormat="false" ht="15.75" hidden="false" customHeight="true" outlineLevel="0" collapsed="false">
      <c r="E321" s="93"/>
    </row>
    <row r="322" customFormat="false" ht="15.75" hidden="false" customHeight="true" outlineLevel="0" collapsed="false">
      <c r="E322" s="93"/>
    </row>
    <row r="323" customFormat="false" ht="15.75" hidden="false" customHeight="true" outlineLevel="0" collapsed="false">
      <c r="E323" s="93"/>
    </row>
    <row r="324" customFormat="false" ht="15.75" hidden="false" customHeight="true" outlineLevel="0" collapsed="false">
      <c r="E324" s="93"/>
    </row>
    <row r="325" customFormat="false" ht="15.75" hidden="false" customHeight="true" outlineLevel="0" collapsed="false">
      <c r="E325" s="93"/>
    </row>
    <row r="326" customFormat="false" ht="15.75" hidden="false" customHeight="true" outlineLevel="0" collapsed="false">
      <c r="E326" s="93"/>
    </row>
    <row r="327" customFormat="false" ht="15.75" hidden="false" customHeight="true" outlineLevel="0" collapsed="false">
      <c r="E327" s="93"/>
    </row>
    <row r="328" customFormat="false" ht="15.75" hidden="false" customHeight="true" outlineLevel="0" collapsed="false">
      <c r="E328" s="93"/>
    </row>
    <row r="329" customFormat="false" ht="15.75" hidden="false" customHeight="true" outlineLevel="0" collapsed="false">
      <c r="E329" s="93"/>
    </row>
    <row r="330" customFormat="false" ht="15.75" hidden="false" customHeight="true" outlineLevel="0" collapsed="false">
      <c r="E330" s="93"/>
    </row>
    <row r="331" customFormat="false" ht="15.75" hidden="false" customHeight="true" outlineLevel="0" collapsed="false">
      <c r="E331" s="93"/>
    </row>
    <row r="332" customFormat="false" ht="15.75" hidden="false" customHeight="true" outlineLevel="0" collapsed="false">
      <c r="E332" s="93"/>
    </row>
    <row r="333" customFormat="false" ht="15.75" hidden="false" customHeight="true" outlineLevel="0" collapsed="false">
      <c r="E333" s="93"/>
    </row>
    <row r="334" customFormat="false" ht="15.75" hidden="false" customHeight="true" outlineLevel="0" collapsed="false">
      <c r="E334" s="93"/>
    </row>
    <row r="335" customFormat="false" ht="15.75" hidden="false" customHeight="true" outlineLevel="0" collapsed="false">
      <c r="E335" s="93"/>
    </row>
    <row r="336" customFormat="false" ht="15.75" hidden="false" customHeight="true" outlineLevel="0" collapsed="false">
      <c r="E336" s="93"/>
    </row>
    <row r="337" customFormat="false" ht="15.75" hidden="false" customHeight="true" outlineLevel="0" collapsed="false">
      <c r="E337" s="93"/>
    </row>
    <row r="338" customFormat="false" ht="15.75" hidden="false" customHeight="true" outlineLevel="0" collapsed="false">
      <c r="E338" s="93"/>
    </row>
    <row r="339" customFormat="false" ht="15.75" hidden="false" customHeight="true" outlineLevel="0" collapsed="false">
      <c r="E339" s="93"/>
    </row>
    <row r="340" customFormat="false" ht="15.75" hidden="false" customHeight="true" outlineLevel="0" collapsed="false">
      <c r="E340" s="93"/>
    </row>
    <row r="341" customFormat="false" ht="15.75" hidden="false" customHeight="true" outlineLevel="0" collapsed="false">
      <c r="E341" s="93"/>
    </row>
    <row r="342" customFormat="false" ht="15.75" hidden="false" customHeight="true" outlineLevel="0" collapsed="false">
      <c r="E342" s="93"/>
    </row>
    <row r="343" customFormat="false" ht="15.75" hidden="false" customHeight="true" outlineLevel="0" collapsed="false">
      <c r="E343" s="93"/>
    </row>
    <row r="344" customFormat="false" ht="15.75" hidden="false" customHeight="true" outlineLevel="0" collapsed="false">
      <c r="E344" s="93"/>
    </row>
    <row r="345" customFormat="false" ht="15.75" hidden="false" customHeight="true" outlineLevel="0" collapsed="false">
      <c r="E345" s="93"/>
    </row>
    <row r="346" customFormat="false" ht="15.75" hidden="false" customHeight="true" outlineLevel="0" collapsed="false">
      <c r="E346" s="93"/>
    </row>
    <row r="347" customFormat="false" ht="15.75" hidden="false" customHeight="true" outlineLevel="0" collapsed="false">
      <c r="E347" s="93"/>
    </row>
    <row r="348" customFormat="false" ht="15.75" hidden="false" customHeight="true" outlineLevel="0" collapsed="false">
      <c r="E348" s="93"/>
    </row>
    <row r="349" customFormat="false" ht="15.75" hidden="false" customHeight="true" outlineLevel="0" collapsed="false">
      <c r="E349" s="93"/>
    </row>
    <row r="350" customFormat="false" ht="15.75" hidden="false" customHeight="true" outlineLevel="0" collapsed="false">
      <c r="E350" s="93"/>
    </row>
    <row r="351" customFormat="false" ht="15.75" hidden="false" customHeight="true" outlineLevel="0" collapsed="false">
      <c r="E351" s="93"/>
    </row>
    <row r="352" customFormat="false" ht="15.75" hidden="false" customHeight="true" outlineLevel="0" collapsed="false">
      <c r="E352" s="93"/>
    </row>
    <row r="353" customFormat="false" ht="15.75" hidden="false" customHeight="true" outlineLevel="0" collapsed="false">
      <c r="E353" s="93"/>
    </row>
    <row r="354" customFormat="false" ht="15.75" hidden="false" customHeight="true" outlineLevel="0" collapsed="false">
      <c r="E354" s="93"/>
    </row>
    <row r="355" customFormat="false" ht="15.75" hidden="false" customHeight="true" outlineLevel="0" collapsed="false">
      <c r="E355" s="93"/>
    </row>
    <row r="356" customFormat="false" ht="15.75" hidden="false" customHeight="true" outlineLevel="0" collapsed="false">
      <c r="E356" s="93"/>
    </row>
    <row r="357" customFormat="false" ht="15.75" hidden="false" customHeight="true" outlineLevel="0" collapsed="false">
      <c r="E357" s="93"/>
    </row>
    <row r="358" customFormat="false" ht="15.75" hidden="false" customHeight="true" outlineLevel="0" collapsed="false">
      <c r="E358" s="93"/>
    </row>
    <row r="359" customFormat="false" ht="15.75" hidden="false" customHeight="true" outlineLevel="0" collapsed="false">
      <c r="E359" s="93"/>
    </row>
    <row r="360" customFormat="false" ht="15.75" hidden="false" customHeight="true" outlineLevel="0" collapsed="false">
      <c r="E360" s="93"/>
    </row>
    <row r="361" customFormat="false" ht="15.75" hidden="false" customHeight="true" outlineLevel="0" collapsed="false">
      <c r="E361" s="93"/>
    </row>
    <row r="362" customFormat="false" ht="15.75" hidden="false" customHeight="true" outlineLevel="0" collapsed="false">
      <c r="E362" s="93"/>
    </row>
    <row r="363" customFormat="false" ht="15.75" hidden="false" customHeight="true" outlineLevel="0" collapsed="false">
      <c r="E363" s="93"/>
    </row>
    <row r="364" customFormat="false" ht="15.75" hidden="false" customHeight="true" outlineLevel="0" collapsed="false">
      <c r="E364" s="93"/>
    </row>
    <row r="365" customFormat="false" ht="15.75" hidden="false" customHeight="true" outlineLevel="0" collapsed="false">
      <c r="E365" s="93"/>
    </row>
    <row r="366" customFormat="false" ht="15.75" hidden="false" customHeight="true" outlineLevel="0" collapsed="false">
      <c r="E366" s="93"/>
    </row>
    <row r="367" customFormat="false" ht="15.75" hidden="false" customHeight="true" outlineLevel="0" collapsed="false">
      <c r="E367" s="93"/>
    </row>
    <row r="368" customFormat="false" ht="15.75" hidden="false" customHeight="true" outlineLevel="0" collapsed="false">
      <c r="E368" s="93"/>
    </row>
    <row r="369" customFormat="false" ht="15.75" hidden="false" customHeight="true" outlineLevel="0" collapsed="false">
      <c r="E369" s="93"/>
    </row>
    <row r="370" customFormat="false" ht="15.75" hidden="false" customHeight="true" outlineLevel="0" collapsed="false">
      <c r="E370" s="93"/>
    </row>
    <row r="371" customFormat="false" ht="15.75" hidden="false" customHeight="true" outlineLevel="0" collapsed="false">
      <c r="E371" s="93"/>
    </row>
    <row r="372" customFormat="false" ht="15.75" hidden="false" customHeight="true" outlineLevel="0" collapsed="false">
      <c r="E372" s="93"/>
    </row>
    <row r="373" customFormat="false" ht="15.75" hidden="false" customHeight="true" outlineLevel="0" collapsed="false">
      <c r="E373" s="93"/>
    </row>
    <row r="374" customFormat="false" ht="15.75" hidden="false" customHeight="true" outlineLevel="0" collapsed="false">
      <c r="E374" s="93"/>
    </row>
    <row r="375" customFormat="false" ht="15.75" hidden="false" customHeight="true" outlineLevel="0" collapsed="false">
      <c r="E375" s="93"/>
    </row>
    <row r="376" customFormat="false" ht="15.75" hidden="false" customHeight="true" outlineLevel="0" collapsed="false">
      <c r="E376" s="93"/>
    </row>
    <row r="377" customFormat="false" ht="15.75" hidden="false" customHeight="true" outlineLevel="0" collapsed="false">
      <c r="E377" s="93"/>
    </row>
    <row r="378" customFormat="false" ht="15.75" hidden="false" customHeight="true" outlineLevel="0" collapsed="false">
      <c r="E378" s="93"/>
    </row>
    <row r="379" customFormat="false" ht="15.75" hidden="false" customHeight="true" outlineLevel="0" collapsed="false">
      <c r="E379" s="93"/>
    </row>
    <row r="380" customFormat="false" ht="15.75" hidden="false" customHeight="true" outlineLevel="0" collapsed="false">
      <c r="E380" s="93"/>
    </row>
    <row r="381" customFormat="false" ht="15.75" hidden="false" customHeight="true" outlineLevel="0" collapsed="false">
      <c r="E381" s="93"/>
    </row>
    <row r="382" customFormat="false" ht="15.75" hidden="false" customHeight="true" outlineLevel="0" collapsed="false">
      <c r="E382" s="93"/>
    </row>
    <row r="383" customFormat="false" ht="15.75" hidden="false" customHeight="true" outlineLevel="0" collapsed="false">
      <c r="E383" s="93"/>
    </row>
    <row r="384" customFormat="false" ht="15.75" hidden="false" customHeight="true" outlineLevel="0" collapsed="false">
      <c r="E384" s="93"/>
    </row>
    <row r="385" customFormat="false" ht="15.75" hidden="false" customHeight="true" outlineLevel="0" collapsed="false">
      <c r="E385" s="93"/>
    </row>
    <row r="386" customFormat="false" ht="15.75" hidden="false" customHeight="true" outlineLevel="0" collapsed="false">
      <c r="E386" s="93"/>
    </row>
    <row r="387" customFormat="false" ht="15.75" hidden="false" customHeight="true" outlineLevel="0" collapsed="false">
      <c r="E387" s="93"/>
    </row>
    <row r="388" customFormat="false" ht="15.75" hidden="false" customHeight="true" outlineLevel="0" collapsed="false">
      <c r="E388" s="93"/>
    </row>
    <row r="389" customFormat="false" ht="15.75" hidden="false" customHeight="true" outlineLevel="0" collapsed="false">
      <c r="E389" s="93"/>
    </row>
    <row r="390" customFormat="false" ht="15.75" hidden="false" customHeight="true" outlineLevel="0" collapsed="false">
      <c r="E390" s="93"/>
    </row>
    <row r="391" customFormat="false" ht="15.75" hidden="false" customHeight="true" outlineLevel="0" collapsed="false">
      <c r="E391" s="93"/>
    </row>
    <row r="392" customFormat="false" ht="15.75" hidden="false" customHeight="true" outlineLevel="0" collapsed="false">
      <c r="E392" s="93"/>
    </row>
    <row r="393" customFormat="false" ht="15.75" hidden="false" customHeight="true" outlineLevel="0" collapsed="false">
      <c r="E393" s="93"/>
    </row>
    <row r="394" customFormat="false" ht="15.75" hidden="false" customHeight="true" outlineLevel="0" collapsed="false">
      <c r="E394" s="93"/>
    </row>
    <row r="395" customFormat="false" ht="15.75" hidden="false" customHeight="true" outlineLevel="0" collapsed="false">
      <c r="E395" s="93"/>
    </row>
    <row r="396" customFormat="false" ht="15.75" hidden="false" customHeight="true" outlineLevel="0" collapsed="false">
      <c r="E396" s="93"/>
    </row>
    <row r="397" customFormat="false" ht="15.75" hidden="false" customHeight="true" outlineLevel="0" collapsed="false">
      <c r="E397" s="93"/>
    </row>
    <row r="398" customFormat="false" ht="15.75" hidden="false" customHeight="true" outlineLevel="0" collapsed="false">
      <c r="E398" s="93"/>
    </row>
    <row r="399" customFormat="false" ht="15.75" hidden="false" customHeight="true" outlineLevel="0" collapsed="false">
      <c r="E399" s="93"/>
    </row>
    <row r="400" customFormat="false" ht="15.75" hidden="false" customHeight="true" outlineLevel="0" collapsed="false">
      <c r="E400" s="93"/>
    </row>
    <row r="401" customFormat="false" ht="15.75" hidden="false" customHeight="true" outlineLevel="0" collapsed="false">
      <c r="E401" s="93"/>
    </row>
    <row r="402" customFormat="false" ht="15.75" hidden="false" customHeight="true" outlineLevel="0" collapsed="false">
      <c r="E402" s="93"/>
    </row>
    <row r="403" customFormat="false" ht="15.75" hidden="false" customHeight="true" outlineLevel="0" collapsed="false">
      <c r="E403" s="93"/>
    </row>
    <row r="404" customFormat="false" ht="15.75" hidden="false" customHeight="true" outlineLevel="0" collapsed="false">
      <c r="E404" s="93"/>
    </row>
    <row r="405" customFormat="false" ht="15.75" hidden="false" customHeight="true" outlineLevel="0" collapsed="false">
      <c r="E405" s="93"/>
    </row>
    <row r="406" customFormat="false" ht="15.75" hidden="false" customHeight="true" outlineLevel="0" collapsed="false">
      <c r="E406" s="93"/>
    </row>
    <row r="407" customFormat="false" ht="15.75" hidden="false" customHeight="true" outlineLevel="0" collapsed="false">
      <c r="E407" s="93"/>
    </row>
    <row r="408" customFormat="false" ht="15.75" hidden="false" customHeight="true" outlineLevel="0" collapsed="false">
      <c r="E408" s="93"/>
    </row>
    <row r="409" customFormat="false" ht="15.75" hidden="false" customHeight="true" outlineLevel="0" collapsed="false">
      <c r="E409" s="93"/>
    </row>
    <row r="410" customFormat="false" ht="15.75" hidden="false" customHeight="true" outlineLevel="0" collapsed="false">
      <c r="E410" s="93"/>
    </row>
    <row r="411" customFormat="false" ht="15.75" hidden="false" customHeight="true" outlineLevel="0" collapsed="false">
      <c r="E411" s="93"/>
    </row>
    <row r="412" customFormat="false" ht="15.75" hidden="false" customHeight="true" outlineLevel="0" collapsed="false">
      <c r="E412" s="93"/>
    </row>
    <row r="413" customFormat="false" ht="15.75" hidden="false" customHeight="true" outlineLevel="0" collapsed="false">
      <c r="E413" s="93"/>
    </row>
    <row r="414" customFormat="false" ht="15.75" hidden="false" customHeight="true" outlineLevel="0" collapsed="false">
      <c r="E414" s="93"/>
    </row>
    <row r="415" customFormat="false" ht="15.75" hidden="false" customHeight="true" outlineLevel="0" collapsed="false">
      <c r="E415" s="93"/>
    </row>
    <row r="416" customFormat="false" ht="15.75" hidden="false" customHeight="true" outlineLevel="0" collapsed="false">
      <c r="E416" s="93"/>
    </row>
    <row r="417" customFormat="false" ht="15.75" hidden="false" customHeight="true" outlineLevel="0" collapsed="false">
      <c r="E417" s="93"/>
    </row>
    <row r="418" customFormat="false" ht="15.75" hidden="false" customHeight="true" outlineLevel="0" collapsed="false">
      <c r="E418" s="93"/>
    </row>
    <row r="419" customFormat="false" ht="15.75" hidden="false" customHeight="true" outlineLevel="0" collapsed="false">
      <c r="E419" s="93"/>
    </row>
    <row r="420" customFormat="false" ht="15.75" hidden="false" customHeight="true" outlineLevel="0" collapsed="false">
      <c r="E420" s="93"/>
    </row>
    <row r="421" customFormat="false" ht="15.75" hidden="false" customHeight="true" outlineLevel="0" collapsed="false">
      <c r="E421" s="93"/>
    </row>
    <row r="422" customFormat="false" ht="15.75" hidden="false" customHeight="true" outlineLevel="0" collapsed="false">
      <c r="E422" s="93"/>
    </row>
    <row r="423" customFormat="false" ht="15.75" hidden="false" customHeight="true" outlineLevel="0" collapsed="false">
      <c r="E423" s="93"/>
    </row>
    <row r="424" customFormat="false" ht="15.75" hidden="false" customHeight="true" outlineLevel="0" collapsed="false">
      <c r="E424" s="93"/>
    </row>
    <row r="425" customFormat="false" ht="15.75" hidden="false" customHeight="true" outlineLevel="0" collapsed="false">
      <c r="E425" s="93"/>
    </row>
    <row r="426" customFormat="false" ht="15.75" hidden="false" customHeight="true" outlineLevel="0" collapsed="false">
      <c r="E426" s="93"/>
    </row>
    <row r="427" customFormat="false" ht="15.75" hidden="false" customHeight="true" outlineLevel="0" collapsed="false">
      <c r="E427" s="93"/>
    </row>
    <row r="428" customFormat="false" ht="15.75" hidden="false" customHeight="true" outlineLevel="0" collapsed="false">
      <c r="E428" s="93"/>
    </row>
    <row r="429" customFormat="false" ht="15.75" hidden="false" customHeight="true" outlineLevel="0" collapsed="false">
      <c r="E429" s="93"/>
    </row>
    <row r="430" customFormat="false" ht="15.75" hidden="false" customHeight="true" outlineLevel="0" collapsed="false">
      <c r="E430" s="93"/>
    </row>
    <row r="431" customFormat="false" ht="15.75" hidden="false" customHeight="true" outlineLevel="0" collapsed="false">
      <c r="E431" s="93"/>
    </row>
    <row r="432" customFormat="false" ht="15.75" hidden="false" customHeight="true" outlineLevel="0" collapsed="false">
      <c r="E432" s="93"/>
    </row>
    <row r="433" customFormat="false" ht="15.75" hidden="false" customHeight="true" outlineLevel="0" collapsed="false">
      <c r="E433" s="93"/>
    </row>
    <row r="434" customFormat="false" ht="15.75" hidden="false" customHeight="true" outlineLevel="0" collapsed="false">
      <c r="E434" s="93"/>
    </row>
    <row r="435" customFormat="false" ht="15.75" hidden="false" customHeight="true" outlineLevel="0" collapsed="false">
      <c r="E435" s="93"/>
    </row>
    <row r="436" customFormat="false" ht="15.75" hidden="false" customHeight="true" outlineLevel="0" collapsed="false">
      <c r="E436" s="93"/>
    </row>
    <row r="437" customFormat="false" ht="15.75" hidden="false" customHeight="true" outlineLevel="0" collapsed="false">
      <c r="E437" s="93"/>
    </row>
    <row r="438" customFormat="false" ht="15.75" hidden="false" customHeight="true" outlineLevel="0" collapsed="false">
      <c r="E438" s="93"/>
    </row>
    <row r="439" customFormat="false" ht="15.75" hidden="false" customHeight="true" outlineLevel="0" collapsed="false">
      <c r="E439" s="93"/>
    </row>
    <row r="440" customFormat="false" ht="15.75" hidden="false" customHeight="true" outlineLevel="0" collapsed="false">
      <c r="E440" s="93"/>
    </row>
    <row r="441" customFormat="false" ht="15.75" hidden="false" customHeight="true" outlineLevel="0" collapsed="false">
      <c r="E441" s="93"/>
    </row>
    <row r="442" customFormat="false" ht="15.75" hidden="false" customHeight="true" outlineLevel="0" collapsed="false">
      <c r="E442" s="93"/>
    </row>
    <row r="443" customFormat="false" ht="15.75" hidden="false" customHeight="true" outlineLevel="0" collapsed="false">
      <c r="E443" s="93"/>
    </row>
    <row r="444" customFormat="false" ht="15.75" hidden="false" customHeight="true" outlineLevel="0" collapsed="false">
      <c r="E444" s="93"/>
    </row>
    <row r="445" customFormat="false" ht="15.75" hidden="false" customHeight="true" outlineLevel="0" collapsed="false">
      <c r="E445" s="93"/>
    </row>
    <row r="446" customFormat="false" ht="15.75" hidden="false" customHeight="true" outlineLevel="0" collapsed="false">
      <c r="E446" s="93"/>
    </row>
    <row r="447" customFormat="false" ht="15.75" hidden="false" customHeight="true" outlineLevel="0" collapsed="false">
      <c r="E447" s="93"/>
    </row>
    <row r="448" customFormat="false" ht="15.75" hidden="false" customHeight="true" outlineLevel="0" collapsed="false">
      <c r="E448" s="93"/>
    </row>
    <row r="449" customFormat="false" ht="15.75" hidden="false" customHeight="true" outlineLevel="0" collapsed="false">
      <c r="E449" s="93"/>
    </row>
    <row r="450" customFormat="false" ht="15.75" hidden="false" customHeight="true" outlineLevel="0" collapsed="false">
      <c r="E450" s="93"/>
    </row>
    <row r="451" customFormat="false" ht="15.75" hidden="false" customHeight="true" outlineLevel="0" collapsed="false">
      <c r="E451" s="93"/>
    </row>
    <row r="452" customFormat="false" ht="15.75" hidden="false" customHeight="true" outlineLevel="0" collapsed="false">
      <c r="E452" s="93"/>
    </row>
    <row r="453" customFormat="false" ht="15.75" hidden="false" customHeight="true" outlineLevel="0" collapsed="false">
      <c r="E453" s="93"/>
    </row>
    <row r="454" customFormat="false" ht="15.75" hidden="false" customHeight="true" outlineLevel="0" collapsed="false">
      <c r="E454" s="93"/>
    </row>
    <row r="455" customFormat="false" ht="15.75" hidden="false" customHeight="true" outlineLevel="0" collapsed="false">
      <c r="E455" s="93"/>
    </row>
    <row r="456" customFormat="false" ht="15.75" hidden="false" customHeight="true" outlineLevel="0" collapsed="false">
      <c r="E456" s="93"/>
    </row>
    <row r="457" customFormat="false" ht="15.75" hidden="false" customHeight="true" outlineLevel="0" collapsed="false">
      <c r="E457" s="93"/>
    </row>
    <row r="458" customFormat="false" ht="15.75" hidden="false" customHeight="true" outlineLevel="0" collapsed="false">
      <c r="E458" s="93"/>
    </row>
    <row r="459" customFormat="false" ht="15.75" hidden="false" customHeight="true" outlineLevel="0" collapsed="false">
      <c r="E459" s="93"/>
    </row>
    <row r="460" customFormat="false" ht="15.75" hidden="false" customHeight="true" outlineLevel="0" collapsed="false">
      <c r="E460" s="93"/>
    </row>
    <row r="461" customFormat="false" ht="15.75" hidden="false" customHeight="true" outlineLevel="0" collapsed="false">
      <c r="E461" s="93"/>
    </row>
    <row r="462" customFormat="false" ht="15.75" hidden="false" customHeight="true" outlineLevel="0" collapsed="false">
      <c r="E462" s="93"/>
    </row>
    <row r="463" customFormat="false" ht="15.75" hidden="false" customHeight="true" outlineLevel="0" collapsed="false">
      <c r="E463" s="93"/>
    </row>
    <row r="464" customFormat="false" ht="15.75" hidden="false" customHeight="true" outlineLevel="0" collapsed="false">
      <c r="E464" s="93"/>
    </row>
    <row r="465" customFormat="false" ht="15.75" hidden="false" customHeight="true" outlineLevel="0" collapsed="false">
      <c r="E465" s="93"/>
    </row>
    <row r="466" customFormat="false" ht="15.75" hidden="false" customHeight="true" outlineLevel="0" collapsed="false">
      <c r="E466" s="93"/>
    </row>
    <row r="467" customFormat="false" ht="15.75" hidden="false" customHeight="true" outlineLevel="0" collapsed="false">
      <c r="E467" s="93"/>
    </row>
    <row r="468" customFormat="false" ht="15.75" hidden="false" customHeight="true" outlineLevel="0" collapsed="false">
      <c r="E468" s="93"/>
    </row>
    <row r="469" customFormat="false" ht="15.75" hidden="false" customHeight="true" outlineLevel="0" collapsed="false">
      <c r="E469" s="93"/>
    </row>
    <row r="470" customFormat="false" ht="15.75" hidden="false" customHeight="true" outlineLevel="0" collapsed="false">
      <c r="E470" s="93"/>
    </row>
    <row r="471" customFormat="false" ht="15.75" hidden="false" customHeight="true" outlineLevel="0" collapsed="false">
      <c r="E471" s="93"/>
    </row>
    <row r="472" customFormat="false" ht="15.75" hidden="false" customHeight="true" outlineLevel="0" collapsed="false">
      <c r="E472" s="93"/>
    </row>
    <row r="473" customFormat="false" ht="15.75" hidden="false" customHeight="true" outlineLevel="0" collapsed="false">
      <c r="E473" s="93"/>
    </row>
    <row r="474" customFormat="false" ht="15.75" hidden="false" customHeight="true" outlineLevel="0" collapsed="false">
      <c r="E474" s="93"/>
    </row>
    <row r="475" customFormat="false" ht="15.75" hidden="false" customHeight="true" outlineLevel="0" collapsed="false">
      <c r="E475" s="93"/>
    </row>
    <row r="476" customFormat="false" ht="15.75" hidden="false" customHeight="true" outlineLevel="0" collapsed="false">
      <c r="E476" s="93"/>
    </row>
    <row r="477" customFormat="false" ht="15.75" hidden="false" customHeight="true" outlineLevel="0" collapsed="false">
      <c r="E477" s="93"/>
    </row>
    <row r="478" customFormat="false" ht="15.75" hidden="false" customHeight="true" outlineLevel="0" collapsed="false">
      <c r="E478" s="93"/>
    </row>
    <row r="479" customFormat="false" ht="15.75" hidden="false" customHeight="true" outlineLevel="0" collapsed="false">
      <c r="E479" s="93"/>
    </row>
    <row r="480" customFormat="false" ht="15.75" hidden="false" customHeight="true" outlineLevel="0" collapsed="false">
      <c r="E480" s="93"/>
    </row>
    <row r="481" customFormat="false" ht="15.75" hidden="false" customHeight="true" outlineLevel="0" collapsed="false">
      <c r="E481" s="93"/>
    </row>
    <row r="482" customFormat="false" ht="15.75" hidden="false" customHeight="true" outlineLevel="0" collapsed="false">
      <c r="E482" s="93"/>
    </row>
    <row r="483" customFormat="false" ht="15.75" hidden="false" customHeight="true" outlineLevel="0" collapsed="false">
      <c r="E483" s="93"/>
    </row>
    <row r="484" customFormat="false" ht="15.75" hidden="false" customHeight="true" outlineLevel="0" collapsed="false">
      <c r="E484" s="93"/>
    </row>
    <row r="485" customFormat="false" ht="15.75" hidden="false" customHeight="true" outlineLevel="0" collapsed="false">
      <c r="E485" s="93"/>
    </row>
    <row r="486" customFormat="false" ht="15.75" hidden="false" customHeight="true" outlineLevel="0" collapsed="false">
      <c r="E486" s="93"/>
    </row>
    <row r="487" customFormat="false" ht="15.75" hidden="false" customHeight="true" outlineLevel="0" collapsed="false">
      <c r="E487" s="93"/>
    </row>
    <row r="488" customFormat="false" ht="15.75" hidden="false" customHeight="true" outlineLevel="0" collapsed="false">
      <c r="E488" s="93"/>
    </row>
    <row r="489" customFormat="false" ht="15.75" hidden="false" customHeight="true" outlineLevel="0" collapsed="false">
      <c r="E489" s="93"/>
    </row>
    <row r="490" customFormat="false" ht="15.75" hidden="false" customHeight="true" outlineLevel="0" collapsed="false">
      <c r="E490" s="93"/>
    </row>
    <row r="491" customFormat="false" ht="15.75" hidden="false" customHeight="true" outlineLevel="0" collapsed="false">
      <c r="E491" s="93"/>
    </row>
    <row r="492" customFormat="false" ht="15.75" hidden="false" customHeight="true" outlineLevel="0" collapsed="false">
      <c r="E492" s="93"/>
    </row>
    <row r="493" customFormat="false" ht="15.75" hidden="false" customHeight="true" outlineLevel="0" collapsed="false">
      <c r="E493" s="93"/>
    </row>
    <row r="494" customFormat="false" ht="15.75" hidden="false" customHeight="true" outlineLevel="0" collapsed="false">
      <c r="E494" s="93"/>
    </row>
    <row r="495" customFormat="false" ht="15.75" hidden="false" customHeight="true" outlineLevel="0" collapsed="false">
      <c r="E495" s="93"/>
    </row>
    <row r="496" customFormat="false" ht="15.75" hidden="false" customHeight="true" outlineLevel="0" collapsed="false">
      <c r="E496" s="93"/>
    </row>
    <row r="497" customFormat="false" ht="15.75" hidden="false" customHeight="true" outlineLevel="0" collapsed="false">
      <c r="E497" s="93"/>
    </row>
    <row r="498" customFormat="false" ht="15.75" hidden="false" customHeight="true" outlineLevel="0" collapsed="false">
      <c r="E498" s="93"/>
    </row>
    <row r="499" customFormat="false" ht="15.75" hidden="false" customHeight="true" outlineLevel="0" collapsed="false">
      <c r="E499" s="93"/>
    </row>
    <row r="500" customFormat="false" ht="15.75" hidden="false" customHeight="true" outlineLevel="0" collapsed="false">
      <c r="E500" s="93"/>
    </row>
    <row r="501" customFormat="false" ht="15.75" hidden="false" customHeight="true" outlineLevel="0" collapsed="false">
      <c r="E501" s="93"/>
    </row>
    <row r="502" customFormat="false" ht="15.75" hidden="false" customHeight="true" outlineLevel="0" collapsed="false">
      <c r="E502" s="93"/>
    </row>
    <row r="503" customFormat="false" ht="15.75" hidden="false" customHeight="true" outlineLevel="0" collapsed="false">
      <c r="E503" s="93"/>
    </row>
    <row r="504" customFormat="false" ht="15.75" hidden="false" customHeight="true" outlineLevel="0" collapsed="false">
      <c r="E504" s="93"/>
    </row>
    <row r="505" customFormat="false" ht="15.75" hidden="false" customHeight="true" outlineLevel="0" collapsed="false">
      <c r="E505" s="93"/>
    </row>
    <row r="506" customFormat="false" ht="15.75" hidden="false" customHeight="true" outlineLevel="0" collapsed="false">
      <c r="E506" s="93"/>
    </row>
    <row r="507" customFormat="false" ht="15.75" hidden="false" customHeight="true" outlineLevel="0" collapsed="false">
      <c r="E507" s="93"/>
    </row>
    <row r="508" customFormat="false" ht="15.75" hidden="false" customHeight="true" outlineLevel="0" collapsed="false">
      <c r="E508" s="93"/>
    </row>
    <row r="509" customFormat="false" ht="15.75" hidden="false" customHeight="true" outlineLevel="0" collapsed="false">
      <c r="E509" s="93"/>
    </row>
    <row r="510" customFormat="false" ht="15.75" hidden="false" customHeight="true" outlineLevel="0" collapsed="false">
      <c r="E510" s="93"/>
    </row>
    <row r="511" customFormat="false" ht="15.75" hidden="false" customHeight="true" outlineLevel="0" collapsed="false">
      <c r="E511" s="93"/>
    </row>
    <row r="512" customFormat="false" ht="15.75" hidden="false" customHeight="true" outlineLevel="0" collapsed="false">
      <c r="E512" s="93"/>
    </row>
    <row r="513" customFormat="false" ht="15.75" hidden="false" customHeight="true" outlineLevel="0" collapsed="false">
      <c r="E513" s="93"/>
    </row>
    <row r="514" customFormat="false" ht="15.75" hidden="false" customHeight="true" outlineLevel="0" collapsed="false">
      <c r="E514" s="93"/>
    </row>
    <row r="515" customFormat="false" ht="15.75" hidden="false" customHeight="true" outlineLevel="0" collapsed="false">
      <c r="E515" s="93"/>
    </row>
    <row r="516" customFormat="false" ht="15.75" hidden="false" customHeight="true" outlineLevel="0" collapsed="false">
      <c r="E516" s="93"/>
    </row>
    <row r="517" customFormat="false" ht="15.75" hidden="false" customHeight="true" outlineLevel="0" collapsed="false">
      <c r="E517" s="93"/>
    </row>
    <row r="518" customFormat="false" ht="15.75" hidden="false" customHeight="true" outlineLevel="0" collapsed="false">
      <c r="E518" s="93"/>
    </row>
    <row r="519" customFormat="false" ht="15.75" hidden="false" customHeight="true" outlineLevel="0" collapsed="false">
      <c r="E519" s="93"/>
    </row>
    <row r="520" customFormat="false" ht="15.75" hidden="false" customHeight="true" outlineLevel="0" collapsed="false">
      <c r="E520" s="93"/>
    </row>
    <row r="521" customFormat="false" ht="15.75" hidden="false" customHeight="true" outlineLevel="0" collapsed="false">
      <c r="E521" s="93"/>
    </row>
    <row r="522" customFormat="false" ht="15.75" hidden="false" customHeight="true" outlineLevel="0" collapsed="false">
      <c r="E522" s="93"/>
    </row>
    <row r="523" customFormat="false" ht="15.75" hidden="false" customHeight="true" outlineLevel="0" collapsed="false">
      <c r="E523" s="93"/>
    </row>
    <row r="524" customFormat="false" ht="15.75" hidden="false" customHeight="true" outlineLevel="0" collapsed="false">
      <c r="E524" s="93"/>
    </row>
    <row r="525" customFormat="false" ht="15.75" hidden="false" customHeight="true" outlineLevel="0" collapsed="false">
      <c r="E525" s="93"/>
    </row>
    <row r="526" customFormat="false" ht="15.75" hidden="false" customHeight="true" outlineLevel="0" collapsed="false">
      <c r="E526" s="93"/>
    </row>
    <row r="527" customFormat="false" ht="15.75" hidden="false" customHeight="true" outlineLevel="0" collapsed="false">
      <c r="E527" s="93"/>
    </row>
    <row r="528" customFormat="false" ht="15.75" hidden="false" customHeight="true" outlineLevel="0" collapsed="false">
      <c r="E528" s="93"/>
    </row>
    <row r="529" customFormat="false" ht="15.75" hidden="false" customHeight="true" outlineLevel="0" collapsed="false">
      <c r="E529" s="93"/>
    </row>
    <row r="530" customFormat="false" ht="15.75" hidden="false" customHeight="true" outlineLevel="0" collapsed="false">
      <c r="E530" s="93"/>
    </row>
    <row r="531" customFormat="false" ht="15.75" hidden="false" customHeight="true" outlineLevel="0" collapsed="false">
      <c r="E531" s="93"/>
    </row>
    <row r="532" customFormat="false" ht="15.75" hidden="false" customHeight="true" outlineLevel="0" collapsed="false">
      <c r="E532" s="93"/>
    </row>
    <row r="533" customFormat="false" ht="15.75" hidden="false" customHeight="true" outlineLevel="0" collapsed="false">
      <c r="E533" s="93"/>
    </row>
    <row r="534" customFormat="false" ht="15.75" hidden="false" customHeight="true" outlineLevel="0" collapsed="false">
      <c r="E534" s="93"/>
    </row>
    <row r="535" customFormat="false" ht="15.75" hidden="false" customHeight="true" outlineLevel="0" collapsed="false">
      <c r="E535" s="93"/>
    </row>
    <row r="536" customFormat="false" ht="15.75" hidden="false" customHeight="true" outlineLevel="0" collapsed="false">
      <c r="E536" s="93"/>
    </row>
    <row r="537" customFormat="false" ht="15.75" hidden="false" customHeight="true" outlineLevel="0" collapsed="false">
      <c r="E537" s="93"/>
    </row>
    <row r="538" customFormat="false" ht="15.75" hidden="false" customHeight="true" outlineLevel="0" collapsed="false">
      <c r="E538" s="93"/>
    </row>
    <row r="539" customFormat="false" ht="15.75" hidden="false" customHeight="true" outlineLevel="0" collapsed="false">
      <c r="E539" s="93"/>
    </row>
    <row r="540" customFormat="false" ht="15.75" hidden="false" customHeight="true" outlineLevel="0" collapsed="false">
      <c r="E540" s="93"/>
    </row>
    <row r="541" customFormat="false" ht="15.75" hidden="false" customHeight="true" outlineLevel="0" collapsed="false">
      <c r="E541" s="93"/>
    </row>
    <row r="542" customFormat="false" ht="15.75" hidden="false" customHeight="true" outlineLevel="0" collapsed="false">
      <c r="E542" s="93"/>
    </row>
    <row r="543" customFormat="false" ht="15.75" hidden="false" customHeight="true" outlineLevel="0" collapsed="false">
      <c r="E543" s="93"/>
    </row>
    <row r="544" customFormat="false" ht="15.75" hidden="false" customHeight="true" outlineLevel="0" collapsed="false">
      <c r="E544" s="93"/>
    </row>
    <row r="545" customFormat="false" ht="15.75" hidden="false" customHeight="true" outlineLevel="0" collapsed="false">
      <c r="E545" s="93"/>
    </row>
    <row r="546" customFormat="false" ht="15.75" hidden="false" customHeight="true" outlineLevel="0" collapsed="false">
      <c r="E546" s="93"/>
    </row>
    <row r="547" customFormat="false" ht="15.75" hidden="false" customHeight="true" outlineLevel="0" collapsed="false">
      <c r="E547" s="93"/>
    </row>
    <row r="548" customFormat="false" ht="15.75" hidden="false" customHeight="true" outlineLevel="0" collapsed="false">
      <c r="E548" s="93"/>
    </row>
    <row r="549" customFormat="false" ht="15.75" hidden="false" customHeight="true" outlineLevel="0" collapsed="false">
      <c r="E549" s="93"/>
    </row>
    <row r="550" customFormat="false" ht="15.75" hidden="false" customHeight="true" outlineLevel="0" collapsed="false">
      <c r="E550" s="93"/>
    </row>
    <row r="551" customFormat="false" ht="15.75" hidden="false" customHeight="true" outlineLevel="0" collapsed="false">
      <c r="E551" s="93"/>
    </row>
    <row r="552" customFormat="false" ht="15.75" hidden="false" customHeight="true" outlineLevel="0" collapsed="false">
      <c r="E552" s="93"/>
    </row>
    <row r="553" customFormat="false" ht="15.75" hidden="false" customHeight="true" outlineLevel="0" collapsed="false">
      <c r="E553" s="93"/>
    </row>
    <row r="554" customFormat="false" ht="15.75" hidden="false" customHeight="true" outlineLevel="0" collapsed="false">
      <c r="E554" s="93"/>
    </row>
    <row r="555" customFormat="false" ht="15.75" hidden="false" customHeight="true" outlineLevel="0" collapsed="false">
      <c r="E555" s="93"/>
    </row>
    <row r="556" customFormat="false" ht="15.75" hidden="false" customHeight="true" outlineLevel="0" collapsed="false">
      <c r="E556" s="93"/>
    </row>
    <row r="557" customFormat="false" ht="15.75" hidden="false" customHeight="true" outlineLevel="0" collapsed="false">
      <c r="E557" s="93"/>
    </row>
    <row r="558" customFormat="false" ht="15.75" hidden="false" customHeight="true" outlineLevel="0" collapsed="false">
      <c r="E558" s="93"/>
    </row>
    <row r="559" customFormat="false" ht="15.75" hidden="false" customHeight="true" outlineLevel="0" collapsed="false">
      <c r="E559" s="93"/>
    </row>
    <row r="560" customFormat="false" ht="15.75" hidden="false" customHeight="true" outlineLevel="0" collapsed="false">
      <c r="E560" s="93"/>
    </row>
    <row r="561" customFormat="false" ht="15.75" hidden="false" customHeight="true" outlineLevel="0" collapsed="false">
      <c r="E561" s="93"/>
    </row>
    <row r="562" customFormat="false" ht="15.75" hidden="false" customHeight="true" outlineLevel="0" collapsed="false">
      <c r="E562" s="93"/>
    </row>
    <row r="563" customFormat="false" ht="15.75" hidden="false" customHeight="true" outlineLevel="0" collapsed="false">
      <c r="E563" s="93"/>
    </row>
    <row r="564" customFormat="false" ht="15.75" hidden="false" customHeight="true" outlineLevel="0" collapsed="false">
      <c r="E564" s="93"/>
    </row>
    <row r="565" customFormat="false" ht="15.75" hidden="false" customHeight="true" outlineLevel="0" collapsed="false">
      <c r="E565" s="93"/>
    </row>
    <row r="566" customFormat="false" ht="15.75" hidden="false" customHeight="true" outlineLevel="0" collapsed="false">
      <c r="E566" s="93"/>
    </row>
    <row r="567" customFormat="false" ht="15.75" hidden="false" customHeight="true" outlineLevel="0" collapsed="false">
      <c r="E567" s="93"/>
    </row>
    <row r="568" customFormat="false" ht="15.75" hidden="false" customHeight="true" outlineLevel="0" collapsed="false">
      <c r="E568" s="93"/>
    </row>
    <row r="569" customFormat="false" ht="15.75" hidden="false" customHeight="true" outlineLevel="0" collapsed="false">
      <c r="E569" s="93"/>
    </row>
    <row r="570" customFormat="false" ht="15.75" hidden="false" customHeight="true" outlineLevel="0" collapsed="false">
      <c r="E570" s="93"/>
    </row>
    <row r="571" customFormat="false" ht="15.75" hidden="false" customHeight="true" outlineLevel="0" collapsed="false">
      <c r="E571" s="93"/>
    </row>
    <row r="572" customFormat="false" ht="15.75" hidden="false" customHeight="true" outlineLevel="0" collapsed="false">
      <c r="E572" s="93"/>
    </row>
    <row r="573" customFormat="false" ht="15.75" hidden="false" customHeight="true" outlineLevel="0" collapsed="false">
      <c r="E573" s="93"/>
    </row>
    <row r="574" customFormat="false" ht="15.75" hidden="false" customHeight="true" outlineLevel="0" collapsed="false">
      <c r="E574" s="93"/>
    </row>
    <row r="575" customFormat="false" ht="15.75" hidden="false" customHeight="true" outlineLevel="0" collapsed="false">
      <c r="E575" s="93"/>
    </row>
    <row r="576" customFormat="false" ht="15.75" hidden="false" customHeight="true" outlineLevel="0" collapsed="false">
      <c r="E576" s="93"/>
    </row>
    <row r="577" customFormat="false" ht="15.75" hidden="false" customHeight="true" outlineLevel="0" collapsed="false">
      <c r="E577" s="93"/>
    </row>
    <row r="578" customFormat="false" ht="15.75" hidden="false" customHeight="true" outlineLevel="0" collapsed="false">
      <c r="E578" s="93"/>
    </row>
    <row r="579" customFormat="false" ht="15.75" hidden="false" customHeight="true" outlineLevel="0" collapsed="false">
      <c r="E579" s="93"/>
    </row>
    <row r="580" customFormat="false" ht="15.75" hidden="false" customHeight="true" outlineLevel="0" collapsed="false">
      <c r="E580" s="93"/>
    </row>
    <row r="581" customFormat="false" ht="15.75" hidden="false" customHeight="true" outlineLevel="0" collapsed="false">
      <c r="E581" s="93"/>
    </row>
    <row r="582" customFormat="false" ht="15.75" hidden="false" customHeight="true" outlineLevel="0" collapsed="false">
      <c r="E582" s="93"/>
    </row>
    <row r="583" customFormat="false" ht="15.75" hidden="false" customHeight="true" outlineLevel="0" collapsed="false">
      <c r="E583" s="93"/>
    </row>
    <row r="584" customFormat="false" ht="15.75" hidden="false" customHeight="true" outlineLevel="0" collapsed="false">
      <c r="E584" s="93"/>
    </row>
    <row r="585" customFormat="false" ht="15.75" hidden="false" customHeight="true" outlineLevel="0" collapsed="false">
      <c r="E585" s="93"/>
    </row>
    <row r="586" customFormat="false" ht="15.75" hidden="false" customHeight="true" outlineLevel="0" collapsed="false">
      <c r="E586" s="93"/>
    </row>
    <row r="587" customFormat="false" ht="15.75" hidden="false" customHeight="true" outlineLevel="0" collapsed="false">
      <c r="E587" s="93"/>
    </row>
    <row r="588" customFormat="false" ht="15.75" hidden="false" customHeight="true" outlineLevel="0" collapsed="false">
      <c r="E588" s="93"/>
    </row>
    <row r="589" customFormat="false" ht="15.75" hidden="false" customHeight="true" outlineLevel="0" collapsed="false">
      <c r="E589" s="93"/>
    </row>
    <row r="590" customFormat="false" ht="15.75" hidden="false" customHeight="true" outlineLevel="0" collapsed="false">
      <c r="E590" s="93"/>
    </row>
    <row r="591" customFormat="false" ht="15.75" hidden="false" customHeight="true" outlineLevel="0" collapsed="false">
      <c r="E591" s="93"/>
    </row>
    <row r="592" customFormat="false" ht="15.75" hidden="false" customHeight="true" outlineLevel="0" collapsed="false">
      <c r="E592" s="93"/>
    </row>
    <row r="593" customFormat="false" ht="15.75" hidden="false" customHeight="true" outlineLevel="0" collapsed="false">
      <c r="E593" s="93"/>
    </row>
    <row r="594" customFormat="false" ht="15.75" hidden="false" customHeight="true" outlineLevel="0" collapsed="false">
      <c r="E594" s="93"/>
    </row>
    <row r="595" customFormat="false" ht="15.75" hidden="false" customHeight="true" outlineLevel="0" collapsed="false">
      <c r="E595" s="93"/>
    </row>
    <row r="596" customFormat="false" ht="15.75" hidden="false" customHeight="true" outlineLevel="0" collapsed="false">
      <c r="E596" s="93"/>
    </row>
    <row r="597" customFormat="false" ht="15.75" hidden="false" customHeight="true" outlineLevel="0" collapsed="false">
      <c r="E597" s="93"/>
    </row>
    <row r="598" customFormat="false" ht="15.75" hidden="false" customHeight="true" outlineLevel="0" collapsed="false">
      <c r="E598" s="93"/>
    </row>
    <row r="599" customFormat="false" ht="15.75" hidden="false" customHeight="true" outlineLevel="0" collapsed="false">
      <c r="E599" s="93"/>
    </row>
    <row r="600" customFormat="false" ht="15.75" hidden="false" customHeight="true" outlineLevel="0" collapsed="false">
      <c r="E600" s="93"/>
    </row>
    <row r="601" customFormat="false" ht="15.75" hidden="false" customHeight="true" outlineLevel="0" collapsed="false">
      <c r="E601" s="93"/>
    </row>
    <row r="602" customFormat="false" ht="15.75" hidden="false" customHeight="true" outlineLevel="0" collapsed="false">
      <c r="E602" s="93"/>
    </row>
    <row r="603" customFormat="false" ht="15.75" hidden="false" customHeight="true" outlineLevel="0" collapsed="false">
      <c r="E603" s="93"/>
    </row>
    <row r="604" customFormat="false" ht="15.75" hidden="false" customHeight="true" outlineLevel="0" collapsed="false">
      <c r="E604" s="93"/>
    </row>
    <row r="605" customFormat="false" ht="15.75" hidden="false" customHeight="true" outlineLevel="0" collapsed="false">
      <c r="E605" s="93"/>
    </row>
    <row r="606" customFormat="false" ht="15.75" hidden="false" customHeight="true" outlineLevel="0" collapsed="false">
      <c r="E606" s="93"/>
    </row>
    <row r="607" customFormat="false" ht="15.75" hidden="false" customHeight="true" outlineLevel="0" collapsed="false">
      <c r="E607" s="93"/>
    </row>
    <row r="608" customFormat="false" ht="15.75" hidden="false" customHeight="true" outlineLevel="0" collapsed="false">
      <c r="E608" s="93"/>
    </row>
    <row r="609" customFormat="false" ht="15.75" hidden="false" customHeight="true" outlineLevel="0" collapsed="false">
      <c r="E609" s="93"/>
    </row>
    <row r="610" customFormat="false" ht="15.75" hidden="false" customHeight="true" outlineLevel="0" collapsed="false">
      <c r="E610" s="93"/>
    </row>
    <row r="611" customFormat="false" ht="15.75" hidden="false" customHeight="true" outlineLevel="0" collapsed="false">
      <c r="E611" s="93"/>
    </row>
    <row r="612" customFormat="false" ht="15.75" hidden="false" customHeight="true" outlineLevel="0" collapsed="false">
      <c r="E612" s="93"/>
    </row>
    <row r="613" customFormat="false" ht="15.75" hidden="false" customHeight="true" outlineLevel="0" collapsed="false">
      <c r="E613" s="93"/>
    </row>
    <row r="614" customFormat="false" ht="15.75" hidden="false" customHeight="true" outlineLevel="0" collapsed="false">
      <c r="E614" s="93"/>
    </row>
    <row r="615" customFormat="false" ht="15.75" hidden="false" customHeight="true" outlineLevel="0" collapsed="false">
      <c r="E615" s="93"/>
    </row>
    <row r="616" customFormat="false" ht="15.75" hidden="false" customHeight="true" outlineLevel="0" collapsed="false">
      <c r="E616" s="93"/>
    </row>
    <row r="617" customFormat="false" ht="15.75" hidden="false" customHeight="true" outlineLevel="0" collapsed="false">
      <c r="E617" s="93"/>
    </row>
    <row r="618" customFormat="false" ht="15.75" hidden="false" customHeight="true" outlineLevel="0" collapsed="false">
      <c r="E618" s="93"/>
    </row>
    <row r="619" customFormat="false" ht="15.75" hidden="false" customHeight="true" outlineLevel="0" collapsed="false">
      <c r="E619" s="93"/>
    </row>
    <row r="620" customFormat="false" ht="15.75" hidden="false" customHeight="true" outlineLevel="0" collapsed="false">
      <c r="E620" s="93"/>
    </row>
    <row r="621" customFormat="false" ht="15.75" hidden="false" customHeight="true" outlineLevel="0" collapsed="false">
      <c r="E621" s="93"/>
    </row>
    <row r="622" customFormat="false" ht="15.75" hidden="false" customHeight="true" outlineLevel="0" collapsed="false">
      <c r="E622" s="93"/>
    </row>
    <row r="623" customFormat="false" ht="15.75" hidden="false" customHeight="true" outlineLevel="0" collapsed="false">
      <c r="E623" s="93"/>
    </row>
    <row r="624" customFormat="false" ht="15.75" hidden="false" customHeight="true" outlineLevel="0" collapsed="false">
      <c r="E624" s="93"/>
    </row>
    <row r="625" customFormat="false" ht="15.75" hidden="false" customHeight="true" outlineLevel="0" collapsed="false">
      <c r="E625" s="93"/>
    </row>
    <row r="626" customFormat="false" ht="15.75" hidden="false" customHeight="true" outlineLevel="0" collapsed="false">
      <c r="E626" s="93"/>
    </row>
    <row r="627" customFormat="false" ht="15.75" hidden="false" customHeight="true" outlineLevel="0" collapsed="false">
      <c r="E627" s="93"/>
    </row>
    <row r="628" customFormat="false" ht="15.75" hidden="false" customHeight="true" outlineLevel="0" collapsed="false">
      <c r="E628" s="93"/>
    </row>
    <row r="629" customFormat="false" ht="15.75" hidden="false" customHeight="true" outlineLevel="0" collapsed="false">
      <c r="E629" s="93"/>
    </row>
    <row r="630" customFormat="false" ht="15.75" hidden="false" customHeight="true" outlineLevel="0" collapsed="false">
      <c r="E630" s="93"/>
    </row>
    <row r="631" customFormat="false" ht="15.75" hidden="false" customHeight="true" outlineLevel="0" collapsed="false">
      <c r="E631" s="93"/>
    </row>
    <row r="632" customFormat="false" ht="15.75" hidden="false" customHeight="true" outlineLevel="0" collapsed="false">
      <c r="E632" s="93"/>
    </row>
    <row r="633" customFormat="false" ht="15.75" hidden="false" customHeight="true" outlineLevel="0" collapsed="false">
      <c r="E633" s="93"/>
    </row>
    <row r="634" customFormat="false" ht="15.75" hidden="false" customHeight="true" outlineLevel="0" collapsed="false">
      <c r="E634" s="93"/>
    </row>
    <row r="635" customFormat="false" ht="15.75" hidden="false" customHeight="true" outlineLevel="0" collapsed="false">
      <c r="E635" s="93"/>
    </row>
    <row r="636" customFormat="false" ht="15.75" hidden="false" customHeight="true" outlineLevel="0" collapsed="false">
      <c r="E636" s="93"/>
    </row>
    <row r="637" customFormat="false" ht="15.75" hidden="false" customHeight="true" outlineLevel="0" collapsed="false">
      <c r="E637" s="93"/>
    </row>
    <row r="638" customFormat="false" ht="15.75" hidden="false" customHeight="true" outlineLevel="0" collapsed="false">
      <c r="E638" s="93"/>
    </row>
    <row r="639" customFormat="false" ht="15.75" hidden="false" customHeight="true" outlineLevel="0" collapsed="false">
      <c r="E639" s="93"/>
    </row>
    <row r="640" customFormat="false" ht="15.75" hidden="false" customHeight="true" outlineLevel="0" collapsed="false">
      <c r="E640" s="93"/>
    </row>
    <row r="641" customFormat="false" ht="15.75" hidden="false" customHeight="true" outlineLevel="0" collapsed="false">
      <c r="E641" s="93"/>
    </row>
    <row r="642" customFormat="false" ht="15.75" hidden="false" customHeight="true" outlineLevel="0" collapsed="false">
      <c r="E642" s="93"/>
    </row>
    <row r="643" customFormat="false" ht="15.75" hidden="false" customHeight="true" outlineLevel="0" collapsed="false">
      <c r="E643" s="93"/>
    </row>
    <row r="644" customFormat="false" ht="15.75" hidden="false" customHeight="true" outlineLevel="0" collapsed="false">
      <c r="E644" s="93"/>
    </row>
    <row r="645" customFormat="false" ht="15.75" hidden="false" customHeight="true" outlineLevel="0" collapsed="false">
      <c r="E645" s="93"/>
    </row>
    <row r="646" customFormat="false" ht="15.75" hidden="false" customHeight="true" outlineLevel="0" collapsed="false">
      <c r="E646" s="93"/>
    </row>
    <row r="647" customFormat="false" ht="15.75" hidden="false" customHeight="true" outlineLevel="0" collapsed="false">
      <c r="E647" s="93"/>
    </row>
    <row r="648" customFormat="false" ht="15.75" hidden="false" customHeight="true" outlineLevel="0" collapsed="false">
      <c r="E648" s="93"/>
    </row>
    <row r="649" customFormat="false" ht="15.75" hidden="false" customHeight="true" outlineLevel="0" collapsed="false">
      <c r="E649" s="93"/>
    </row>
    <row r="650" customFormat="false" ht="15.75" hidden="false" customHeight="true" outlineLevel="0" collapsed="false">
      <c r="E650" s="93"/>
    </row>
    <row r="651" customFormat="false" ht="15.75" hidden="false" customHeight="true" outlineLevel="0" collapsed="false">
      <c r="E651" s="93"/>
    </row>
    <row r="652" customFormat="false" ht="15.75" hidden="false" customHeight="true" outlineLevel="0" collapsed="false">
      <c r="E652" s="93"/>
    </row>
    <row r="653" customFormat="false" ht="15.75" hidden="false" customHeight="true" outlineLevel="0" collapsed="false">
      <c r="E653" s="93"/>
    </row>
    <row r="654" customFormat="false" ht="15.75" hidden="false" customHeight="true" outlineLevel="0" collapsed="false">
      <c r="E654" s="93"/>
    </row>
    <row r="655" customFormat="false" ht="15.75" hidden="false" customHeight="true" outlineLevel="0" collapsed="false">
      <c r="E655" s="93"/>
    </row>
    <row r="656" customFormat="false" ht="15.75" hidden="false" customHeight="true" outlineLevel="0" collapsed="false">
      <c r="E656" s="93"/>
    </row>
    <row r="657" customFormat="false" ht="15.75" hidden="false" customHeight="true" outlineLevel="0" collapsed="false">
      <c r="E657" s="93"/>
    </row>
    <row r="658" customFormat="false" ht="15.75" hidden="false" customHeight="true" outlineLevel="0" collapsed="false">
      <c r="E658" s="93"/>
    </row>
    <row r="659" customFormat="false" ht="15.75" hidden="false" customHeight="true" outlineLevel="0" collapsed="false">
      <c r="E659" s="93"/>
    </row>
    <row r="660" customFormat="false" ht="15.75" hidden="false" customHeight="true" outlineLevel="0" collapsed="false">
      <c r="E660" s="93"/>
    </row>
    <row r="661" customFormat="false" ht="15.75" hidden="false" customHeight="true" outlineLevel="0" collapsed="false">
      <c r="E661" s="93"/>
    </row>
    <row r="662" customFormat="false" ht="15.75" hidden="false" customHeight="true" outlineLevel="0" collapsed="false">
      <c r="E662" s="93"/>
    </row>
    <row r="663" customFormat="false" ht="15.75" hidden="false" customHeight="true" outlineLevel="0" collapsed="false">
      <c r="E663" s="93"/>
    </row>
    <row r="664" customFormat="false" ht="15.75" hidden="false" customHeight="true" outlineLevel="0" collapsed="false">
      <c r="E664" s="93"/>
    </row>
    <row r="665" customFormat="false" ht="15.75" hidden="false" customHeight="true" outlineLevel="0" collapsed="false">
      <c r="E665" s="93"/>
    </row>
    <row r="666" customFormat="false" ht="15.75" hidden="false" customHeight="true" outlineLevel="0" collapsed="false">
      <c r="E666" s="93"/>
    </row>
    <row r="667" customFormat="false" ht="15.75" hidden="false" customHeight="true" outlineLevel="0" collapsed="false">
      <c r="E667" s="93"/>
    </row>
    <row r="668" customFormat="false" ht="15.75" hidden="false" customHeight="true" outlineLevel="0" collapsed="false">
      <c r="E668" s="93"/>
    </row>
    <row r="669" customFormat="false" ht="15.75" hidden="false" customHeight="true" outlineLevel="0" collapsed="false">
      <c r="E669" s="93"/>
    </row>
    <row r="670" customFormat="false" ht="15.75" hidden="false" customHeight="true" outlineLevel="0" collapsed="false">
      <c r="E670" s="93"/>
    </row>
    <row r="671" customFormat="false" ht="15.75" hidden="false" customHeight="true" outlineLevel="0" collapsed="false">
      <c r="E671" s="93"/>
    </row>
    <row r="672" customFormat="false" ht="15.75" hidden="false" customHeight="true" outlineLevel="0" collapsed="false">
      <c r="E672" s="93"/>
    </row>
    <row r="673" customFormat="false" ht="15.75" hidden="false" customHeight="true" outlineLevel="0" collapsed="false">
      <c r="E673" s="93"/>
    </row>
    <row r="674" customFormat="false" ht="15.75" hidden="false" customHeight="true" outlineLevel="0" collapsed="false">
      <c r="E674" s="93"/>
    </row>
    <row r="675" customFormat="false" ht="15.75" hidden="false" customHeight="true" outlineLevel="0" collapsed="false">
      <c r="E675" s="93"/>
    </row>
    <row r="676" customFormat="false" ht="15.75" hidden="false" customHeight="true" outlineLevel="0" collapsed="false">
      <c r="E676" s="93"/>
    </row>
    <row r="677" customFormat="false" ht="15.75" hidden="false" customHeight="true" outlineLevel="0" collapsed="false">
      <c r="E677" s="93"/>
    </row>
    <row r="678" customFormat="false" ht="15.75" hidden="false" customHeight="true" outlineLevel="0" collapsed="false">
      <c r="E678" s="93"/>
    </row>
    <row r="679" customFormat="false" ht="15.75" hidden="false" customHeight="true" outlineLevel="0" collapsed="false">
      <c r="E679" s="93"/>
    </row>
    <row r="680" customFormat="false" ht="15.75" hidden="false" customHeight="true" outlineLevel="0" collapsed="false">
      <c r="E680" s="93"/>
    </row>
    <row r="681" customFormat="false" ht="15.75" hidden="false" customHeight="true" outlineLevel="0" collapsed="false">
      <c r="E681" s="93"/>
    </row>
    <row r="682" customFormat="false" ht="15.75" hidden="false" customHeight="true" outlineLevel="0" collapsed="false">
      <c r="E682" s="93"/>
    </row>
    <row r="683" customFormat="false" ht="15.75" hidden="false" customHeight="true" outlineLevel="0" collapsed="false">
      <c r="E683" s="93"/>
    </row>
    <row r="684" customFormat="false" ht="15.75" hidden="false" customHeight="true" outlineLevel="0" collapsed="false">
      <c r="E684" s="93"/>
    </row>
    <row r="685" customFormat="false" ht="15.75" hidden="false" customHeight="true" outlineLevel="0" collapsed="false">
      <c r="E685" s="93"/>
    </row>
    <row r="686" customFormat="false" ht="15.75" hidden="false" customHeight="true" outlineLevel="0" collapsed="false">
      <c r="E686" s="93"/>
    </row>
    <row r="687" customFormat="false" ht="15.75" hidden="false" customHeight="true" outlineLevel="0" collapsed="false">
      <c r="E687" s="93"/>
    </row>
    <row r="688" customFormat="false" ht="15.75" hidden="false" customHeight="true" outlineLevel="0" collapsed="false">
      <c r="E688" s="93"/>
    </row>
    <row r="689" customFormat="false" ht="15.75" hidden="false" customHeight="true" outlineLevel="0" collapsed="false">
      <c r="E689" s="93"/>
    </row>
    <row r="690" customFormat="false" ht="15.75" hidden="false" customHeight="true" outlineLevel="0" collapsed="false">
      <c r="E690" s="93"/>
    </row>
    <row r="691" customFormat="false" ht="15.75" hidden="false" customHeight="true" outlineLevel="0" collapsed="false">
      <c r="E691" s="93"/>
    </row>
    <row r="692" customFormat="false" ht="15.75" hidden="false" customHeight="true" outlineLevel="0" collapsed="false">
      <c r="E692" s="93"/>
    </row>
    <row r="693" customFormat="false" ht="15.75" hidden="false" customHeight="true" outlineLevel="0" collapsed="false">
      <c r="E693" s="93"/>
    </row>
    <row r="694" customFormat="false" ht="15.75" hidden="false" customHeight="true" outlineLevel="0" collapsed="false">
      <c r="E694" s="93"/>
    </row>
    <row r="695" customFormat="false" ht="15.75" hidden="false" customHeight="true" outlineLevel="0" collapsed="false">
      <c r="E695" s="93"/>
    </row>
    <row r="696" customFormat="false" ht="15.75" hidden="false" customHeight="true" outlineLevel="0" collapsed="false">
      <c r="E696" s="93"/>
    </row>
    <row r="697" customFormat="false" ht="15.75" hidden="false" customHeight="true" outlineLevel="0" collapsed="false">
      <c r="E697" s="93"/>
    </row>
    <row r="698" customFormat="false" ht="15.75" hidden="false" customHeight="true" outlineLevel="0" collapsed="false">
      <c r="E698" s="93"/>
    </row>
    <row r="699" customFormat="false" ht="15.75" hidden="false" customHeight="true" outlineLevel="0" collapsed="false">
      <c r="E699" s="93"/>
    </row>
    <row r="700" customFormat="false" ht="15.75" hidden="false" customHeight="true" outlineLevel="0" collapsed="false">
      <c r="E700" s="93"/>
    </row>
    <row r="701" customFormat="false" ht="15.75" hidden="false" customHeight="true" outlineLevel="0" collapsed="false">
      <c r="E701" s="93"/>
    </row>
    <row r="702" customFormat="false" ht="15.75" hidden="false" customHeight="true" outlineLevel="0" collapsed="false">
      <c r="E702" s="93"/>
    </row>
    <row r="703" customFormat="false" ht="15.75" hidden="false" customHeight="true" outlineLevel="0" collapsed="false">
      <c r="E703" s="93"/>
    </row>
    <row r="704" customFormat="false" ht="15.75" hidden="false" customHeight="true" outlineLevel="0" collapsed="false">
      <c r="E704" s="93"/>
    </row>
    <row r="705" customFormat="false" ht="15.75" hidden="false" customHeight="true" outlineLevel="0" collapsed="false">
      <c r="E705" s="93"/>
    </row>
    <row r="706" customFormat="false" ht="15.75" hidden="false" customHeight="true" outlineLevel="0" collapsed="false">
      <c r="E706" s="93"/>
    </row>
    <row r="707" customFormat="false" ht="15.75" hidden="false" customHeight="true" outlineLevel="0" collapsed="false">
      <c r="E707" s="93"/>
    </row>
    <row r="708" customFormat="false" ht="15.75" hidden="false" customHeight="true" outlineLevel="0" collapsed="false">
      <c r="E708" s="93"/>
    </row>
    <row r="709" customFormat="false" ht="15.75" hidden="false" customHeight="true" outlineLevel="0" collapsed="false">
      <c r="E709" s="93"/>
    </row>
    <row r="710" customFormat="false" ht="15.75" hidden="false" customHeight="true" outlineLevel="0" collapsed="false">
      <c r="E710" s="93"/>
    </row>
    <row r="711" customFormat="false" ht="15.75" hidden="false" customHeight="true" outlineLevel="0" collapsed="false">
      <c r="E711" s="93"/>
    </row>
    <row r="712" customFormat="false" ht="15.75" hidden="false" customHeight="true" outlineLevel="0" collapsed="false">
      <c r="E712" s="93"/>
    </row>
    <row r="713" customFormat="false" ht="15.75" hidden="false" customHeight="true" outlineLevel="0" collapsed="false">
      <c r="E713" s="93"/>
    </row>
    <row r="714" customFormat="false" ht="15.75" hidden="false" customHeight="true" outlineLevel="0" collapsed="false">
      <c r="E714" s="93"/>
    </row>
    <row r="715" customFormat="false" ht="15.75" hidden="false" customHeight="true" outlineLevel="0" collapsed="false">
      <c r="E715" s="93"/>
    </row>
    <row r="716" customFormat="false" ht="15.75" hidden="false" customHeight="true" outlineLevel="0" collapsed="false">
      <c r="E716" s="93"/>
    </row>
    <row r="717" customFormat="false" ht="15.75" hidden="false" customHeight="true" outlineLevel="0" collapsed="false">
      <c r="E717" s="93"/>
    </row>
    <row r="718" customFormat="false" ht="15.75" hidden="false" customHeight="true" outlineLevel="0" collapsed="false">
      <c r="E718" s="93"/>
    </row>
    <row r="719" customFormat="false" ht="15.75" hidden="false" customHeight="true" outlineLevel="0" collapsed="false">
      <c r="E719" s="93"/>
    </row>
    <row r="720" customFormat="false" ht="15.75" hidden="false" customHeight="true" outlineLevel="0" collapsed="false">
      <c r="E720" s="93"/>
    </row>
    <row r="721" customFormat="false" ht="15.75" hidden="false" customHeight="true" outlineLevel="0" collapsed="false">
      <c r="E721" s="93"/>
    </row>
    <row r="722" customFormat="false" ht="15.75" hidden="false" customHeight="true" outlineLevel="0" collapsed="false">
      <c r="E722" s="93"/>
    </row>
    <row r="723" customFormat="false" ht="15.75" hidden="false" customHeight="true" outlineLevel="0" collapsed="false">
      <c r="E723" s="93"/>
    </row>
    <row r="724" customFormat="false" ht="15.75" hidden="false" customHeight="true" outlineLevel="0" collapsed="false">
      <c r="E724" s="93"/>
    </row>
    <row r="725" customFormat="false" ht="15.75" hidden="false" customHeight="true" outlineLevel="0" collapsed="false">
      <c r="E725" s="93"/>
    </row>
    <row r="726" customFormat="false" ht="15.75" hidden="false" customHeight="true" outlineLevel="0" collapsed="false">
      <c r="E726" s="93"/>
    </row>
    <row r="727" customFormat="false" ht="15.75" hidden="false" customHeight="true" outlineLevel="0" collapsed="false">
      <c r="E727" s="93"/>
    </row>
    <row r="728" customFormat="false" ht="15.75" hidden="false" customHeight="true" outlineLevel="0" collapsed="false">
      <c r="E728" s="93"/>
    </row>
    <row r="729" customFormat="false" ht="15.75" hidden="false" customHeight="true" outlineLevel="0" collapsed="false">
      <c r="E729" s="93"/>
    </row>
    <row r="730" customFormat="false" ht="15.75" hidden="false" customHeight="true" outlineLevel="0" collapsed="false">
      <c r="E730" s="93"/>
    </row>
    <row r="731" customFormat="false" ht="15.75" hidden="false" customHeight="true" outlineLevel="0" collapsed="false">
      <c r="E731" s="93"/>
    </row>
    <row r="732" customFormat="false" ht="15.75" hidden="false" customHeight="true" outlineLevel="0" collapsed="false">
      <c r="E732" s="93"/>
    </row>
    <row r="733" customFormat="false" ht="15.75" hidden="false" customHeight="true" outlineLevel="0" collapsed="false">
      <c r="E733" s="93"/>
    </row>
    <row r="734" customFormat="false" ht="15.75" hidden="false" customHeight="true" outlineLevel="0" collapsed="false">
      <c r="E734" s="93"/>
    </row>
    <row r="735" customFormat="false" ht="15.75" hidden="false" customHeight="true" outlineLevel="0" collapsed="false">
      <c r="E735" s="93"/>
    </row>
    <row r="736" customFormat="false" ht="15.75" hidden="false" customHeight="true" outlineLevel="0" collapsed="false">
      <c r="E736" s="93"/>
    </row>
    <row r="737" customFormat="false" ht="15.75" hidden="false" customHeight="true" outlineLevel="0" collapsed="false">
      <c r="E737" s="93"/>
    </row>
    <row r="738" customFormat="false" ht="15.75" hidden="false" customHeight="true" outlineLevel="0" collapsed="false">
      <c r="E738" s="93"/>
    </row>
    <row r="739" customFormat="false" ht="15.75" hidden="false" customHeight="true" outlineLevel="0" collapsed="false">
      <c r="E739" s="93"/>
    </row>
    <row r="740" customFormat="false" ht="15.75" hidden="false" customHeight="true" outlineLevel="0" collapsed="false">
      <c r="E740" s="93"/>
    </row>
    <row r="741" customFormat="false" ht="15.75" hidden="false" customHeight="true" outlineLevel="0" collapsed="false">
      <c r="E741" s="93"/>
    </row>
    <row r="742" customFormat="false" ht="15.75" hidden="false" customHeight="true" outlineLevel="0" collapsed="false">
      <c r="E742" s="93"/>
    </row>
    <row r="743" customFormat="false" ht="15.75" hidden="false" customHeight="true" outlineLevel="0" collapsed="false">
      <c r="E743" s="93"/>
    </row>
    <row r="744" customFormat="false" ht="15.75" hidden="false" customHeight="true" outlineLevel="0" collapsed="false">
      <c r="E744" s="93"/>
    </row>
    <row r="745" customFormat="false" ht="15.75" hidden="false" customHeight="true" outlineLevel="0" collapsed="false">
      <c r="E745" s="93"/>
    </row>
    <row r="746" customFormat="false" ht="15.75" hidden="false" customHeight="true" outlineLevel="0" collapsed="false">
      <c r="E746" s="93"/>
    </row>
    <row r="747" customFormat="false" ht="15.75" hidden="false" customHeight="true" outlineLevel="0" collapsed="false">
      <c r="E747" s="93"/>
    </row>
    <row r="748" customFormat="false" ht="15.75" hidden="false" customHeight="true" outlineLevel="0" collapsed="false">
      <c r="E748" s="93"/>
    </row>
    <row r="749" customFormat="false" ht="15.75" hidden="false" customHeight="true" outlineLevel="0" collapsed="false">
      <c r="E749" s="93"/>
    </row>
    <row r="750" customFormat="false" ht="15.75" hidden="false" customHeight="true" outlineLevel="0" collapsed="false">
      <c r="E750" s="93"/>
    </row>
    <row r="751" customFormat="false" ht="15.75" hidden="false" customHeight="true" outlineLevel="0" collapsed="false">
      <c r="E751" s="93"/>
    </row>
    <row r="752" customFormat="false" ht="15.75" hidden="false" customHeight="true" outlineLevel="0" collapsed="false">
      <c r="E752" s="93"/>
    </row>
    <row r="753" customFormat="false" ht="15.75" hidden="false" customHeight="true" outlineLevel="0" collapsed="false">
      <c r="E753" s="93"/>
    </row>
    <row r="754" customFormat="false" ht="15.75" hidden="false" customHeight="true" outlineLevel="0" collapsed="false">
      <c r="E754" s="93"/>
    </row>
    <row r="755" customFormat="false" ht="15.75" hidden="false" customHeight="true" outlineLevel="0" collapsed="false">
      <c r="E755" s="93"/>
    </row>
    <row r="756" customFormat="false" ht="15.75" hidden="false" customHeight="true" outlineLevel="0" collapsed="false">
      <c r="E756" s="93"/>
    </row>
    <row r="757" customFormat="false" ht="15.75" hidden="false" customHeight="true" outlineLevel="0" collapsed="false">
      <c r="E757" s="93"/>
    </row>
    <row r="758" customFormat="false" ht="15.75" hidden="false" customHeight="true" outlineLevel="0" collapsed="false">
      <c r="E758" s="93"/>
    </row>
    <row r="759" customFormat="false" ht="15.75" hidden="false" customHeight="true" outlineLevel="0" collapsed="false">
      <c r="E759" s="93"/>
    </row>
    <row r="760" customFormat="false" ht="15.75" hidden="false" customHeight="true" outlineLevel="0" collapsed="false">
      <c r="E760" s="93"/>
    </row>
    <row r="761" customFormat="false" ht="15.75" hidden="false" customHeight="true" outlineLevel="0" collapsed="false">
      <c r="E761" s="93"/>
    </row>
    <row r="762" customFormat="false" ht="15.75" hidden="false" customHeight="true" outlineLevel="0" collapsed="false">
      <c r="E762" s="93"/>
    </row>
    <row r="763" customFormat="false" ht="15.75" hidden="false" customHeight="true" outlineLevel="0" collapsed="false">
      <c r="E763" s="93"/>
    </row>
    <row r="764" customFormat="false" ht="15.75" hidden="false" customHeight="true" outlineLevel="0" collapsed="false">
      <c r="E764" s="93"/>
    </row>
    <row r="765" customFormat="false" ht="15.75" hidden="false" customHeight="true" outlineLevel="0" collapsed="false">
      <c r="E765" s="93"/>
    </row>
    <row r="766" customFormat="false" ht="15.75" hidden="false" customHeight="true" outlineLevel="0" collapsed="false">
      <c r="E766" s="93"/>
    </row>
    <row r="767" customFormat="false" ht="15.75" hidden="false" customHeight="true" outlineLevel="0" collapsed="false">
      <c r="E767" s="93"/>
    </row>
    <row r="768" customFormat="false" ht="15.75" hidden="false" customHeight="true" outlineLevel="0" collapsed="false">
      <c r="E768" s="93"/>
    </row>
    <row r="769" customFormat="false" ht="15.75" hidden="false" customHeight="true" outlineLevel="0" collapsed="false">
      <c r="E769" s="93"/>
    </row>
    <row r="770" customFormat="false" ht="15.75" hidden="false" customHeight="true" outlineLevel="0" collapsed="false">
      <c r="E770" s="93"/>
    </row>
    <row r="771" customFormat="false" ht="15.75" hidden="false" customHeight="true" outlineLevel="0" collapsed="false">
      <c r="E771" s="93"/>
    </row>
    <row r="772" customFormat="false" ht="15.75" hidden="false" customHeight="true" outlineLevel="0" collapsed="false">
      <c r="E772" s="93"/>
    </row>
    <row r="773" customFormat="false" ht="15.75" hidden="false" customHeight="true" outlineLevel="0" collapsed="false">
      <c r="E773" s="93"/>
    </row>
    <row r="774" customFormat="false" ht="15.75" hidden="false" customHeight="true" outlineLevel="0" collapsed="false">
      <c r="E774" s="93"/>
    </row>
    <row r="775" customFormat="false" ht="15.75" hidden="false" customHeight="true" outlineLevel="0" collapsed="false">
      <c r="E775" s="93"/>
    </row>
    <row r="776" customFormat="false" ht="15.75" hidden="false" customHeight="true" outlineLevel="0" collapsed="false">
      <c r="E776" s="93"/>
    </row>
    <row r="777" customFormat="false" ht="15.75" hidden="false" customHeight="true" outlineLevel="0" collapsed="false">
      <c r="E777" s="93"/>
    </row>
    <row r="778" customFormat="false" ht="15.75" hidden="false" customHeight="true" outlineLevel="0" collapsed="false">
      <c r="E778" s="93"/>
    </row>
    <row r="779" customFormat="false" ht="15.75" hidden="false" customHeight="true" outlineLevel="0" collapsed="false">
      <c r="E779" s="93"/>
    </row>
    <row r="780" customFormat="false" ht="15.75" hidden="false" customHeight="true" outlineLevel="0" collapsed="false">
      <c r="E780" s="93"/>
    </row>
    <row r="781" customFormat="false" ht="15.75" hidden="false" customHeight="true" outlineLevel="0" collapsed="false">
      <c r="E781" s="93"/>
    </row>
    <row r="782" customFormat="false" ht="15.75" hidden="false" customHeight="true" outlineLevel="0" collapsed="false">
      <c r="E782" s="93"/>
    </row>
    <row r="783" customFormat="false" ht="15.75" hidden="false" customHeight="true" outlineLevel="0" collapsed="false">
      <c r="E783" s="93"/>
    </row>
    <row r="784" customFormat="false" ht="15.75" hidden="false" customHeight="true" outlineLevel="0" collapsed="false">
      <c r="E784" s="93"/>
    </row>
    <row r="785" customFormat="false" ht="15.75" hidden="false" customHeight="true" outlineLevel="0" collapsed="false">
      <c r="E785" s="93"/>
    </row>
    <row r="786" customFormat="false" ht="15.75" hidden="false" customHeight="true" outlineLevel="0" collapsed="false">
      <c r="E786" s="93"/>
    </row>
    <row r="787" customFormat="false" ht="15.75" hidden="false" customHeight="true" outlineLevel="0" collapsed="false">
      <c r="E787" s="93"/>
    </row>
    <row r="788" customFormat="false" ht="15.75" hidden="false" customHeight="true" outlineLevel="0" collapsed="false">
      <c r="E788" s="93"/>
    </row>
    <row r="789" customFormat="false" ht="15.75" hidden="false" customHeight="true" outlineLevel="0" collapsed="false">
      <c r="E789" s="93"/>
    </row>
    <row r="790" customFormat="false" ht="15.75" hidden="false" customHeight="true" outlineLevel="0" collapsed="false">
      <c r="E790" s="93"/>
    </row>
    <row r="791" customFormat="false" ht="15.75" hidden="false" customHeight="true" outlineLevel="0" collapsed="false">
      <c r="E791" s="93"/>
    </row>
    <row r="792" customFormat="false" ht="15.75" hidden="false" customHeight="true" outlineLevel="0" collapsed="false">
      <c r="E792" s="93"/>
    </row>
    <row r="793" customFormat="false" ht="15.75" hidden="false" customHeight="true" outlineLevel="0" collapsed="false">
      <c r="E793" s="93"/>
    </row>
    <row r="794" customFormat="false" ht="15.75" hidden="false" customHeight="true" outlineLevel="0" collapsed="false">
      <c r="E794" s="93"/>
    </row>
    <row r="795" customFormat="false" ht="15.75" hidden="false" customHeight="true" outlineLevel="0" collapsed="false">
      <c r="E795" s="93"/>
    </row>
    <row r="796" customFormat="false" ht="15.75" hidden="false" customHeight="true" outlineLevel="0" collapsed="false">
      <c r="E796" s="93"/>
    </row>
    <row r="797" customFormat="false" ht="15.75" hidden="false" customHeight="true" outlineLevel="0" collapsed="false">
      <c r="E797" s="93"/>
    </row>
    <row r="798" customFormat="false" ht="15.75" hidden="false" customHeight="true" outlineLevel="0" collapsed="false">
      <c r="E798" s="93"/>
    </row>
    <row r="799" customFormat="false" ht="15.75" hidden="false" customHeight="true" outlineLevel="0" collapsed="false">
      <c r="E799" s="93"/>
    </row>
    <row r="800" customFormat="false" ht="15.75" hidden="false" customHeight="true" outlineLevel="0" collapsed="false">
      <c r="E800" s="93"/>
    </row>
    <row r="801" customFormat="false" ht="15.75" hidden="false" customHeight="true" outlineLevel="0" collapsed="false">
      <c r="E801" s="93"/>
    </row>
    <row r="802" customFormat="false" ht="15.75" hidden="false" customHeight="true" outlineLevel="0" collapsed="false">
      <c r="E802" s="93"/>
    </row>
    <row r="803" customFormat="false" ht="15.75" hidden="false" customHeight="true" outlineLevel="0" collapsed="false">
      <c r="E803" s="93"/>
    </row>
    <row r="804" customFormat="false" ht="15.75" hidden="false" customHeight="true" outlineLevel="0" collapsed="false">
      <c r="E804" s="93"/>
    </row>
    <row r="805" customFormat="false" ht="15.75" hidden="false" customHeight="true" outlineLevel="0" collapsed="false">
      <c r="E805" s="93"/>
    </row>
    <row r="806" customFormat="false" ht="15.75" hidden="false" customHeight="true" outlineLevel="0" collapsed="false">
      <c r="E806" s="93"/>
    </row>
    <row r="807" customFormat="false" ht="15.75" hidden="false" customHeight="true" outlineLevel="0" collapsed="false">
      <c r="E807" s="93"/>
    </row>
    <row r="808" customFormat="false" ht="15.75" hidden="false" customHeight="true" outlineLevel="0" collapsed="false">
      <c r="E808" s="93"/>
    </row>
    <row r="809" customFormat="false" ht="15.75" hidden="false" customHeight="true" outlineLevel="0" collapsed="false">
      <c r="E809" s="93"/>
    </row>
    <row r="810" customFormat="false" ht="15.75" hidden="false" customHeight="true" outlineLevel="0" collapsed="false">
      <c r="E810" s="93"/>
    </row>
    <row r="811" customFormat="false" ht="15.75" hidden="false" customHeight="true" outlineLevel="0" collapsed="false">
      <c r="E811" s="93"/>
    </row>
    <row r="812" customFormat="false" ht="15.75" hidden="false" customHeight="true" outlineLevel="0" collapsed="false">
      <c r="E812" s="93"/>
    </row>
    <row r="813" customFormat="false" ht="15.75" hidden="false" customHeight="true" outlineLevel="0" collapsed="false">
      <c r="E813" s="93"/>
    </row>
    <row r="814" customFormat="false" ht="15.75" hidden="false" customHeight="true" outlineLevel="0" collapsed="false">
      <c r="E814" s="93"/>
    </row>
    <row r="815" customFormat="false" ht="15.75" hidden="false" customHeight="true" outlineLevel="0" collapsed="false">
      <c r="E815" s="93"/>
    </row>
    <row r="816" customFormat="false" ht="15.75" hidden="false" customHeight="true" outlineLevel="0" collapsed="false">
      <c r="E816" s="93"/>
    </row>
    <row r="817" customFormat="false" ht="15.75" hidden="false" customHeight="true" outlineLevel="0" collapsed="false">
      <c r="E817" s="93"/>
    </row>
    <row r="818" customFormat="false" ht="15.75" hidden="false" customHeight="true" outlineLevel="0" collapsed="false">
      <c r="E818" s="93"/>
    </row>
    <row r="819" customFormat="false" ht="15.75" hidden="false" customHeight="true" outlineLevel="0" collapsed="false">
      <c r="E819" s="93"/>
    </row>
    <row r="820" customFormat="false" ht="15.75" hidden="false" customHeight="true" outlineLevel="0" collapsed="false">
      <c r="E820" s="93"/>
    </row>
    <row r="821" customFormat="false" ht="15.75" hidden="false" customHeight="true" outlineLevel="0" collapsed="false">
      <c r="E821" s="93"/>
    </row>
    <row r="822" customFormat="false" ht="15.75" hidden="false" customHeight="true" outlineLevel="0" collapsed="false">
      <c r="E822" s="93"/>
    </row>
    <row r="823" customFormat="false" ht="15.75" hidden="false" customHeight="true" outlineLevel="0" collapsed="false">
      <c r="E823" s="93"/>
    </row>
    <row r="824" customFormat="false" ht="15.75" hidden="false" customHeight="true" outlineLevel="0" collapsed="false">
      <c r="E824" s="93"/>
    </row>
    <row r="825" customFormat="false" ht="15.75" hidden="false" customHeight="true" outlineLevel="0" collapsed="false">
      <c r="E825" s="93"/>
    </row>
    <row r="826" customFormat="false" ht="15.75" hidden="false" customHeight="true" outlineLevel="0" collapsed="false">
      <c r="E826" s="93"/>
    </row>
    <row r="827" customFormat="false" ht="15.75" hidden="false" customHeight="true" outlineLevel="0" collapsed="false">
      <c r="E827" s="93"/>
    </row>
    <row r="828" customFormat="false" ht="15.75" hidden="false" customHeight="true" outlineLevel="0" collapsed="false">
      <c r="E828" s="93"/>
    </row>
    <row r="829" customFormat="false" ht="15.75" hidden="false" customHeight="true" outlineLevel="0" collapsed="false">
      <c r="E829" s="93"/>
    </row>
    <row r="830" customFormat="false" ht="15.75" hidden="false" customHeight="true" outlineLevel="0" collapsed="false">
      <c r="E830" s="93"/>
    </row>
    <row r="831" customFormat="false" ht="15.75" hidden="false" customHeight="true" outlineLevel="0" collapsed="false">
      <c r="E831" s="93"/>
    </row>
    <row r="832" customFormat="false" ht="15.75" hidden="false" customHeight="true" outlineLevel="0" collapsed="false">
      <c r="E832" s="93"/>
    </row>
    <row r="833" customFormat="false" ht="15.75" hidden="false" customHeight="true" outlineLevel="0" collapsed="false">
      <c r="E833" s="93"/>
    </row>
    <row r="834" customFormat="false" ht="15.75" hidden="false" customHeight="true" outlineLevel="0" collapsed="false">
      <c r="E834" s="93"/>
    </row>
    <row r="835" customFormat="false" ht="15.75" hidden="false" customHeight="true" outlineLevel="0" collapsed="false">
      <c r="E835" s="93"/>
    </row>
    <row r="836" customFormat="false" ht="15.75" hidden="false" customHeight="true" outlineLevel="0" collapsed="false">
      <c r="E836" s="93"/>
    </row>
    <row r="837" customFormat="false" ht="15.75" hidden="false" customHeight="true" outlineLevel="0" collapsed="false">
      <c r="E837" s="93"/>
    </row>
    <row r="838" customFormat="false" ht="15.75" hidden="false" customHeight="true" outlineLevel="0" collapsed="false">
      <c r="E838" s="93"/>
    </row>
    <row r="839" customFormat="false" ht="15.75" hidden="false" customHeight="true" outlineLevel="0" collapsed="false">
      <c r="E839" s="93"/>
    </row>
    <row r="840" customFormat="false" ht="15.75" hidden="false" customHeight="true" outlineLevel="0" collapsed="false">
      <c r="E840" s="93"/>
    </row>
    <row r="841" customFormat="false" ht="15.75" hidden="false" customHeight="true" outlineLevel="0" collapsed="false">
      <c r="E841" s="93"/>
    </row>
    <row r="842" customFormat="false" ht="15.75" hidden="false" customHeight="true" outlineLevel="0" collapsed="false">
      <c r="E842" s="93"/>
    </row>
    <row r="843" customFormat="false" ht="15.75" hidden="false" customHeight="true" outlineLevel="0" collapsed="false">
      <c r="E843" s="93"/>
    </row>
    <row r="844" customFormat="false" ht="15.75" hidden="false" customHeight="true" outlineLevel="0" collapsed="false">
      <c r="E844" s="93"/>
    </row>
    <row r="845" customFormat="false" ht="15.75" hidden="false" customHeight="true" outlineLevel="0" collapsed="false">
      <c r="E845" s="93"/>
    </row>
    <row r="846" customFormat="false" ht="15.75" hidden="false" customHeight="true" outlineLevel="0" collapsed="false">
      <c r="E846" s="93"/>
    </row>
    <row r="847" customFormat="false" ht="15.75" hidden="false" customHeight="true" outlineLevel="0" collapsed="false">
      <c r="E847" s="93"/>
    </row>
    <row r="848" customFormat="false" ht="15.75" hidden="false" customHeight="true" outlineLevel="0" collapsed="false">
      <c r="E848" s="93"/>
    </row>
    <row r="849" customFormat="false" ht="15.75" hidden="false" customHeight="true" outlineLevel="0" collapsed="false">
      <c r="E849" s="93"/>
    </row>
    <row r="850" customFormat="false" ht="15.75" hidden="false" customHeight="true" outlineLevel="0" collapsed="false">
      <c r="E850" s="93"/>
    </row>
    <row r="851" customFormat="false" ht="15.75" hidden="false" customHeight="true" outlineLevel="0" collapsed="false">
      <c r="E851" s="93"/>
    </row>
    <row r="852" customFormat="false" ht="15.75" hidden="false" customHeight="true" outlineLevel="0" collapsed="false">
      <c r="E852" s="93"/>
    </row>
    <row r="853" customFormat="false" ht="15.75" hidden="false" customHeight="true" outlineLevel="0" collapsed="false">
      <c r="E853" s="93"/>
    </row>
    <row r="854" customFormat="false" ht="15.75" hidden="false" customHeight="true" outlineLevel="0" collapsed="false">
      <c r="E854" s="93"/>
    </row>
    <row r="855" customFormat="false" ht="15.75" hidden="false" customHeight="true" outlineLevel="0" collapsed="false">
      <c r="E855" s="93"/>
    </row>
    <row r="856" customFormat="false" ht="15.75" hidden="false" customHeight="true" outlineLevel="0" collapsed="false">
      <c r="E856" s="93"/>
    </row>
    <row r="857" customFormat="false" ht="15.75" hidden="false" customHeight="true" outlineLevel="0" collapsed="false">
      <c r="E857" s="93"/>
    </row>
    <row r="858" customFormat="false" ht="15.75" hidden="false" customHeight="true" outlineLevel="0" collapsed="false">
      <c r="E858" s="93"/>
    </row>
    <row r="859" customFormat="false" ht="15.75" hidden="false" customHeight="true" outlineLevel="0" collapsed="false">
      <c r="E859" s="93"/>
    </row>
    <row r="860" customFormat="false" ht="15.75" hidden="false" customHeight="true" outlineLevel="0" collapsed="false">
      <c r="E860" s="93"/>
    </row>
    <row r="861" customFormat="false" ht="15.75" hidden="false" customHeight="true" outlineLevel="0" collapsed="false">
      <c r="E861" s="93"/>
    </row>
    <row r="862" customFormat="false" ht="15.75" hidden="false" customHeight="true" outlineLevel="0" collapsed="false">
      <c r="E862" s="93"/>
    </row>
    <row r="863" customFormat="false" ht="15.75" hidden="false" customHeight="true" outlineLevel="0" collapsed="false">
      <c r="E863" s="93"/>
    </row>
    <row r="864" customFormat="false" ht="15.75" hidden="false" customHeight="true" outlineLevel="0" collapsed="false">
      <c r="E864" s="93"/>
    </row>
    <row r="865" customFormat="false" ht="15.75" hidden="false" customHeight="true" outlineLevel="0" collapsed="false">
      <c r="E865" s="93"/>
    </row>
    <row r="866" customFormat="false" ht="15.75" hidden="false" customHeight="true" outlineLevel="0" collapsed="false">
      <c r="E866" s="93"/>
    </row>
    <row r="867" customFormat="false" ht="15.75" hidden="false" customHeight="true" outlineLevel="0" collapsed="false">
      <c r="E867" s="93"/>
    </row>
    <row r="868" customFormat="false" ht="15.75" hidden="false" customHeight="true" outlineLevel="0" collapsed="false">
      <c r="E868" s="93"/>
    </row>
    <row r="869" customFormat="false" ht="15.75" hidden="false" customHeight="true" outlineLevel="0" collapsed="false">
      <c r="E869" s="93"/>
    </row>
    <row r="870" customFormat="false" ht="15.75" hidden="false" customHeight="true" outlineLevel="0" collapsed="false">
      <c r="E870" s="93"/>
    </row>
    <row r="871" customFormat="false" ht="15.75" hidden="false" customHeight="true" outlineLevel="0" collapsed="false">
      <c r="E871" s="93"/>
    </row>
    <row r="872" customFormat="false" ht="15.75" hidden="false" customHeight="true" outlineLevel="0" collapsed="false">
      <c r="E872" s="93"/>
    </row>
    <row r="873" customFormat="false" ht="15.75" hidden="false" customHeight="true" outlineLevel="0" collapsed="false">
      <c r="E873" s="93"/>
    </row>
    <row r="874" customFormat="false" ht="15.75" hidden="false" customHeight="true" outlineLevel="0" collapsed="false">
      <c r="E874" s="93"/>
    </row>
    <row r="875" customFormat="false" ht="15.75" hidden="false" customHeight="true" outlineLevel="0" collapsed="false">
      <c r="E875" s="93"/>
    </row>
    <row r="876" customFormat="false" ht="15.75" hidden="false" customHeight="true" outlineLevel="0" collapsed="false">
      <c r="E876" s="93"/>
    </row>
    <row r="877" customFormat="false" ht="15.75" hidden="false" customHeight="true" outlineLevel="0" collapsed="false">
      <c r="E877" s="93"/>
    </row>
    <row r="878" customFormat="false" ht="15.75" hidden="false" customHeight="true" outlineLevel="0" collapsed="false">
      <c r="E878" s="93"/>
    </row>
    <row r="879" customFormat="false" ht="15.75" hidden="false" customHeight="true" outlineLevel="0" collapsed="false">
      <c r="E879" s="93"/>
    </row>
    <row r="880" customFormat="false" ht="15.75" hidden="false" customHeight="true" outlineLevel="0" collapsed="false">
      <c r="E880" s="93"/>
    </row>
    <row r="881" customFormat="false" ht="15.75" hidden="false" customHeight="true" outlineLevel="0" collapsed="false">
      <c r="E881" s="93"/>
    </row>
    <row r="882" customFormat="false" ht="15.75" hidden="false" customHeight="true" outlineLevel="0" collapsed="false">
      <c r="E882" s="93"/>
    </row>
    <row r="883" customFormat="false" ht="15.75" hidden="false" customHeight="true" outlineLevel="0" collapsed="false">
      <c r="E883" s="93"/>
    </row>
    <row r="884" customFormat="false" ht="15.75" hidden="false" customHeight="true" outlineLevel="0" collapsed="false">
      <c r="E884" s="93"/>
    </row>
    <row r="885" customFormat="false" ht="15.75" hidden="false" customHeight="true" outlineLevel="0" collapsed="false">
      <c r="E885" s="93"/>
    </row>
    <row r="886" customFormat="false" ht="15.75" hidden="false" customHeight="true" outlineLevel="0" collapsed="false">
      <c r="E886" s="93"/>
    </row>
    <row r="887" customFormat="false" ht="15.75" hidden="false" customHeight="true" outlineLevel="0" collapsed="false">
      <c r="E887" s="93"/>
    </row>
    <row r="888" customFormat="false" ht="15.75" hidden="false" customHeight="true" outlineLevel="0" collapsed="false">
      <c r="E888" s="93"/>
    </row>
    <row r="889" customFormat="false" ht="15.75" hidden="false" customHeight="true" outlineLevel="0" collapsed="false">
      <c r="E889" s="93"/>
    </row>
    <row r="890" customFormat="false" ht="15.75" hidden="false" customHeight="true" outlineLevel="0" collapsed="false">
      <c r="E890" s="93"/>
    </row>
    <row r="891" customFormat="false" ht="15.75" hidden="false" customHeight="true" outlineLevel="0" collapsed="false">
      <c r="E891" s="93"/>
    </row>
    <row r="892" customFormat="false" ht="15.75" hidden="false" customHeight="true" outlineLevel="0" collapsed="false">
      <c r="E892" s="93"/>
    </row>
    <row r="893" customFormat="false" ht="15.75" hidden="false" customHeight="true" outlineLevel="0" collapsed="false">
      <c r="E893" s="93"/>
    </row>
    <row r="894" customFormat="false" ht="15.75" hidden="false" customHeight="true" outlineLevel="0" collapsed="false">
      <c r="E894" s="93"/>
    </row>
    <row r="895" customFormat="false" ht="15.75" hidden="false" customHeight="true" outlineLevel="0" collapsed="false">
      <c r="E895" s="93"/>
    </row>
    <row r="896" customFormat="false" ht="15.75" hidden="false" customHeight="true" outlineLevel="0" collapsed="false">
      <c r="E896" s="93"/>
    </row>
    <row r="897" customFormat="false" ht="15.75" hidden="false" customHeight="true" outlineLevel="0" collapsed="false">
      <c r="E897" s="93"/>
    </row>
    <row r="898" customFormat="false" ht="15.75" hidden="false" customHeight="true" outlineLevel="0" collapsed="false">
      <c r="E898" s="93"/>
    </row>
    <row r="899" customFormat="false" ht="15.75" hidden="false" customHeight="true" outlineLevel="0" collapsed="false">
      <c r="E899" s="93"/>
    </row>
    <row r="900" customFormat="false" ht="15.75" hidden="false" customHeight="true" outlineLevel="0" collapsed="false">
      <c r="E900" s="93"/>
    </row>
    <row r="901" customFormat="false" ht="15.75" hidden="false" customHeight="true" outlineLevel="0" collapsed="false">
      <c r="E901" s="93"/>
    </row>
    <row r="902" customFormat="false" ht="15.75" hidden="false" customHeight="true" outlineLevel="0" collapsed="false">
      <c r="E902" s="93"/>
    </row>
    <row r="903" customFormat="false" ht="15.75" hidden="false" customHeight="true" outlineLevel="0" collapsed="false">
      <c r="E903" s="93"/>
    </row>
    <row r="904" customFormat="false" ht="15.75" hidden="false" customHeight="true" outlineLevel="0" collapsed="false">
      <c r="E904" s="93"/>
    </row>
    <row r="905" customFormat="false" ht="15.75" hidden="false" customHeight="true" outlineLevel="0" collapsed="false">
      <c r="E905" s="93"/>
    </row>
    <row r="906" customFormat="false" ht="15.75" hidden="false" customHeight="true" outlineLevel="0" collapsed="false">
      <c r="E906" s="93"/>
    </row>
    <row r="907" customFormat="false" ht="15.75" hidden="false" customHeight="true" outlineLevel="0" collapsed="false">
      <c r="E907" s="93"/>
    </row>
    <row r="908" customFormat="false" ht="15.75" hidden="false" customHeight="true" outlineLevel="0" collapsed="false">
      <c r="E908" s="93"/>
    </row>
    <row r="909" customFormat="false" ht="15.75" hidden="false" customHeight="true" outlineLevel="0" collapsed="false">
      <c r="E909" s="93"/>
    </row>
    <row r="910" customFormat="false" ht="15.75" hidden="false" customHeight="true" outlineLevel="0" collapsed="false">
      <c r="E910" s="93"/>
    </row>
    <row r="911" customFormat="false" ht="15.75" hidden="false" customHeight="true" outlineLevel="0" collapsed="false">
      <c r="E911" s="93"/>
    </row>
    <row r="912" customFormat="false" ht="15.75" hidden="false" customHeight="true" outlineLevel="0" collapsed="false">
      <c r="E912" s="93"/>
    </row>
    <row r="913" customFormat="false" ht="15.75" hidden="false" customHeight="true" outlineLevel="0" collapsed="false">
      <c r="E913" s="93"/>
    </row>
    <row r="914" customFormat="false" ht="15.75" hidden="false" customHeight="true" outlineLevel="0" collapsed="false">
      <c r="E914" s="93"/>
    </row>
    <row r="915" customFormat="false" ht="15.75" hidden="false" customHeight="true" outlineLevel="0" collapsed="false">
      <c r="E915" s="93"/>
    </row>
    <row r="916" customFormat="false" ht="15.75" hidden="false" customHeight="true" outlineLevel="0" collapsed="false">
      <c r="E916" s="93"/>
    </row>
    <row r="917" customFormat="false" ht="15.75" hidden="false" customHeight="true" outlineLevel="0" collapsed="false">
      <c r="E917" s="93"/>
    </row>
    <row r="918" customFormat="false" ht="15.75" hidden="false" customHeight="true" outlineLevel="0" collapsed="false">
      <c r="E918" s="93"/>
    </row>
    <row r="919" customFormat="false" ht="15.75" hidden="false" customHeight="true" outlineLevel="0" collapsed="false">
      <c r="E919" s="93"/>
    </row>
    <row r="920" customFormat="false" ht="15.75" hidden="false" customHeight="true" outlineLevel="0" collapsed="false">
      <c r="E920" s="93"/>
    </row>
    <row r="921" customFormat="false" ht="15.75" hidden="false" customHeight="true" outlineLevel="0" collapsed="false">
      <c r="E921" s="93"/>
    </row>
    <row r="922" customFormat="false" ht="15.75" hidden="false" customHeight="true" outlineLevel="0" collapsed="false">
      <c r="E922" s="93"/>
    </row>
    <row r="923" customFormat="false" ht="15.75" hidden="false" customHeight="true" outlineLevel="0" collapsed="false">
      <c r="E923" s="93"/>
    </row>
    <row r="924" customFormat="false" ht="15.75" hidden="false" customHeight="true" outlineLevel="0" collapsed="false">
      <c r="E924" s="93"/>
    </row>
    <row r="925" customFormat="false" ht="15.75" hidden="false" customHeight="true" outlineLevel="0" collapsed="false">
      <c r="E925" s="93"/>
    </row>
    <row r="926" customFormat="false" ht="15.75" hidden="false" customHeight="true" outlineLevel="0" collapsed="false">
      <c r="E926" s="93"/>
    </row>
    <row r="927" customFormat="false" ht="15.75" hidden="false" customHeight="true" outlineLevel="0" collapsed="false">
      <c r="E927" s="93"/>
    </row>
    <row r="928" customFormat="false" ht="15.75" hidden="false" customHeight="true" outlineLevel="0" collapsed="false">
      <c r="E928" s="93"/>
    </row>
    <row r="929" customFormat="false" ht="15.75" hidden="false" customHeight="true" outlineLevel="0" collapsed="false">
      <c r="E929" s="93"/>
    </row>
    <row r="930" customFormat="false" ht="15.75" hidden="false" customHeight="true" outlineLevel="0" collapsed="false">
      <c r="E930" s="93"/>
    </row>
    <row r="931" customFormat="false" ht="15.75" hidden="false" customHeight="true" outlineLevel="0" collapsed="false">
      <c r="E931" s="93"/>
    </row>
    <row r="932" customFormat="false" ht="15.75" hidden="false" customHeight="true" outlineLevel="0" collapsed="false">
      <c r="E932" s="93"/>
    </row>
    <row r="933" customFormat="false" ht="15.75" hidden="false" customHeight="true" outlineLevel="0" collapsed="false">
      <c r="E933" s="93"/>
    </row>
    <row r="934" customFormat="false" ht="15.75" hidden="false" customHeight="true" outlineLevel="0" collapsed="false">
      <c r="E934" s="93"/>
    </row>
    <row r="935" customFormat="false" ht="15.75" hidden="false" customHeight="true" outlineLevel="0" collapsed="false">
      <c r="E935" s="93"/>
    </row>
    <row r="936" customFormat="false" ht="15.75" hidden="false" customHeight="true" outlineLevel="0" collapsed="false">
      <c r="E936" s="93"/>
    </row>
    <row r="937" customFormat="false" ht="15.75" hidden="false" customHeight="true" outlineLevel="0" collapsed="false">
      <c r="E937" s="93"/>
    </row>
    <row r="938" customFormat="false" ht="15.75" hidden="false" customHeight="true" outlineLevel="0" collapsed="false">
      <c r="E938" s="93"/>
    </row>
    <row r="939" customFormat="false" ht="15.75" hidden="false" customHeight="true" outlineLevel="0" collapsed="false">
      <c r="E939" s="93"/>
    </row>
    <row r="940" customFormat="false" ht="15.75" hidden="false" customHeight="true" outlineLevel="0" collapsed="false">
      <c r="E940" s="93"/>
    </row>
    <row r="941" customFormat="false" ht="15.75" hidden="false" customHeight="true" outlineLevel="0" collapsed="false">
      <c r="E941" s="93"/>
    </row>
    <row r="942" customFormat="false" ht="15.75" hidden="false" customHeight="true" outlineLevel="0" collapsed="false">
      <c r="E942" s="93"/>
    </row>
    <row r="943" customFormat="false" ht="15.75" hidden="false" customHeight="true" outlineLevel="0" collapsed="false">
      <c r="E943" s="93"/>
    </row>
    <row r="944" customFormat="false" ht="15.75" hidden="false" customHeight="true" outlineLevel="0" collapsed="false">
      <c r="E944" s="93"/>
    </row>
    <row r="945" customFormat="false" ht="15.75" hidden="false" customHeight="true" outlineLevel="0" collapsed="false">
      <c r="E945" s="93"/>
    </row>
    <row r="946" customFormat="false" ht="15.75" hidden="false" customHeight="true" outlineLevel="0" collapsed="false">
      <c r="E946" s="93"/>
    </row>
    <row r="947" customFormat="false" ht="15.75" hidden="false" customHeight="true" outlineLevel="0" collapsed="false">
      <c r="E947" s="93"/>
    </row>
    <row r="948" customFormat="false" ht="15.75" hidden="false" customHeight="true" outlineLevel="0" collapsed="false">
      <c r="E948" s="93"/>
    </row>
    <row r="949" customFormat="false" ht="15.75" hidden="false" customHeight="true" outlineLevel="0" collapsed="false">
      <c r="E949" s="93"/>
    </row>
    <row r="950" customFormat="false" ht="15.75" hidden="false" customHeight="true" outlineLevel="0" collapsed="false">
      <c r="E950" s="93"/>
    </row>
    <row r="951" customFormat="false" ht="15.75" hidden="false" customHeight="true" outlineLevel="0" collapsed="false">
      <c r="E951" s="93"/>
    </row>
    <row r="952" customFormat="false" ht="15.75" hidden="false" customHeight="true" outlineLevel="0" collapsed="false">
      <c r="E952" s="93"/>
    </row>
    <row r="953" customFormat="false" ht="15.75" hidden="false" customHeight="true" outlineLevel="0" collapsed="false">
      <c r="E953" s="93"/>
    </row>
    <row r="954" customFormat="false" ht="15.75" hidden="false" customHeight="true" outlineLevel="0" collapsed="false">
      <c r="E954" s="93"/>
    </row>
    <row r="955" customFormat="false" ht="15.75" hidden="false" customHeight="true" outlineLevel="0" collapsed="false">
      <c r="E955" s="93"/>
    </row>
    <row r="956" customFormat="false" ht="15.75" hidden="false" customHeight="true" outlineLevel="0" collapsed="false">
      <c r="E956" s="93"/>
    </row>
    <row r="957" customFormat="false" ht="15.75" hidden="false" customHeight="true" outlineLevel="0" collapsed="false">
      <c r="E957" s="93"/>
    </row>
    <row r="958" customFormat="false" ht="15.75" hidden="false" customHeight="true" outlineLevel="0" collapsed="false">
      <c r="E958" s="93"/>
    </row>
    <row r="959" customFormat="false" ht="15.75" hidden="false" customHeight="true" outlineLevel="0" collapsed="false">
      <c r="E959" s="93"/>
    </row>
    <row r="960" customFormat="false" ht="15.75" hidden="false" customHeight="true" outlineLevel="0" collapsed="false">
      <c r="E960" s="93"/>
    </row>
    <row r="961" customFormat="false" ht="15.75" hidden="false" customHeight="true" outlineLevel="0" collapsed="false">
      <c r="E961" s="93"/>
    </row>
    <row r="962" customFormat="false" ht="15.75" hidden="false" customHeight="true" outlineLevel="0" collapsed="false">
      <c r="E962" s="93"/>
    </row>
    <row r="963" customFormat="false" ht="15.75" hidden="false" customHeight="true" outlineLevel="0" collapsed="false">
      <c r="E963" s="93"/>
    </row>
    <row r="964" customFormat="false" ht="15.75" hidden="false" customHeight="true" outlineLevel="0" collapsed="false">
      <c r="E964" s="93"/>
    </row>
    <row r="965" customFormat="false" ht="15.75" hidden="false" customHeight="true" outlineLevel="0" collapsed="false">
      <c r="E965" s="93"/>
    </row>
    <row r="966" customFormat="false" ht="15.75" hidden="false" customHeight="true" outlineLevel="0" collapsed="false">
      <c r="E966" s="93"/>
    </row>
    <row r="967" customFormat="false" ht="15.75" hidden="false" customHeight="true" outlineLevel="0" collapsed="false">
      <c r="E967" s="93"/>
    </row>
    <row r="968" customFormat="false" ht="15.75" hidden="false" customHeight="true" outlineLevel="0" collapsed="false">
      <c r="E968" s="93"/>
    </row>
    <row r="969" customFormat="false" ht="15.75" hidden="false" customHeight="true" outlineLevel="0" collapsed="false">
      <c r="E969" s="93"/>
    </row>
    <row r="970" customFormat="false" ht="15.75" hidden="false" customHeight="true" outlineLevel="0" collapsed="false">
      <c r="E970" s="93"/>
    </row>
    <row r="971" customFormat="false" ht="15.75" hidden="false" customHeight="true" outlineLevel="0" collapsed="false">
      <c r="E971" s="93"/>
    </row>
    <row r="972" customFormat="false" ht="15.75" hidden="false" customHeight="true" outlineLevel="0" collapsed="false">
      <c r="E972" s="93"/>
    </row>
    <row r="973" customFormat="false" ht="15.75" hidden="false" customHeight="true" outlineLevel="0" collapsed="false">
      <c r="E973" s="93"/>
    </row>
    <row r="974" customFormat="false" ht="15.75" hidden="false" customHeight="true" outlineLevel="0" collapsed="false">
      <c r="E974" s="93"/>
    </row>
    <row r="975" customFormat="false" ht="15.75" hidden="false" customHeight="true" outlineLevel="0" collapsed="false">
      <c r="E975" s="93"/>
    </row>
    <row r="976" customFormat="false" ht="15.75" hidden="false" customHeight="true" outlineLevel="0" collapsed="false">
      <c r="E976" s="93"/>
    </row>
    <row r="977" customFormat="false" ht="15.75" hidden="false" customHeight="true" outlineLevel="0" collapsed="false">
      <c r="E977" s="93"/>
    </row>
    <row r="978" customFormat="false" ht="15.75" hidden="false" customHeight="true" outlineLevel="0" collapsed="false">
      <c r="E978" s="93"/>
    </row>
    <row r="979" customFormat="false" ht="15.75" hidden="false" customHeight="true" outlineLevel="0" collapsed="false">
      <c r="E979" s="93"/>
    </row>
    <row r="980" customFormat="false" ht="15.75" hidden="false" customHeight="true" outlineLevel="0" collapsed="false">
      <c r="E980" s="93"/>
    </row>
    <row r="981" customFormat="false" ht="15.75" hidden="false" customHeight="true" outlineLevel="0" collapsed="false">
      <c r="E981" s="93"/>
    </row>
    <row r="982" customFormat="false" ht="15.75" hidden="false" customHeight="true" outlineLevel="0" collapsed="false">
      <c r="E982" s="93"/>
    </row>
    <row r="983" customFormat="false" ht="15.75" hidden="false" customHeight="true" outlineLevel="0" collapsed="false">
      <c r="E983" s="93"/>
    </row>
    <row r="984" customFormat="false" ht="15.75" hidden="false" customHeight="true" outlineLevel="0" collapsed="false">
      <c r="E984" s="93"/>
    </row>
    <row r="985" customFormat="false" ht="15.75" hidden="false" customHeight="true" outlineLevel="0" collapsed="false">
      <c r="E985" s="93"/>
    </row>
    <row r="986" customFormat="false" ht="15.75" hidden="false" customHeight="true" outlineLevel="0" collapsed="false">
      <c r="E986" s="93"/>
    </row>
    <row r="987" customFormat="false" ht="15.75" hidden="false" customHeight="true" outlineLevel="0" collapsed="false">
      <c r="E987" s="93"/>
    </row>
    <row r="988" customFormat="false" ht="15.75" hidden="false" customHeight="true" outlineLevel="0" collapsed="false">
      <c r="E988" s="93"/>
    </row>
    <row r="989" customFormat="false" ht="15.75" hidden="false" customHeight="true" outlineLevel="0" collapsed="false">
      <c r="E989" s="93"/>
    </row>
    <row r="990" customFormat="false" ht="15.75" hidden="false" customHeight="true" outlineLevel="0" collapsed="false">
      <c r="E990" s="93"/>
    </row>
    <row r="991" customFormat="false" ht="15.75" hidden="false" customHeight="true" outlineLevel="0" collapsed="false">
      <c r="E991" s="93"/>
    </row>
    <row r="992" customFormat="false" ht="15.75" hidden="false" customHeight="true" outlineLevel="0" collapsed="false">
      <c r="E992" s="93"/>
    </row>
    <row r="993" customFormat="false" ht="15.75" hidden="false" customHeight="true" outlineLevel="0" collapsed="false">
      <c r="E993" s="93"/>
    </row>
    <row r="994" customFormat="false" ht="15.75" hidden="false" customHeight="true" outlineLevel="0" collapsed="false">
      <c r="E994" s="93"/>
    </row>
    <row r="995" customFormat="false" ht="15.75" hidden="false" customHeight="true" outlineLevel="0" collapsed="false">
      <c r="E995" s="93"/>
    </row>
    <row r="996" customFormat="false" ht="15.75" hidden="false" customHeight="true" outlineLevel="0" collapsed="false">
      <c r="E996" s="93"/>
    </row>
    <row r="997" customFormat="false" ht="15.75" hidden="false" customHeight="true" outlineLevel="0" collapsed="false">
      <c r="E997" s="93"/>
    </row>
    <row r="998" customFormat="false" ht="15.75" hidden="false" customHeight="true" outlineLevel="0" collapsed="false">
      <c r="E998" s="93"/>
    </row>
    <row r="999" customFormat="false" ht="15.75" hidden="false" customHeight="true" outlineLevel="0" collapsed="false">
      <c r="E999" s="93"/>
    </row>
    <row r="1000" customFormat="false" ht="15.75" hidden="false" customHeight="true" outlineLevel="0" collapsed="false">
      <c r="E1000" s="93"/>
    </row>
  </sheetData>
  <printOptions headings="false" gridLines="false" gridLinesSet="true" horizontalCentered="false" verticalCentered="false"/>
  <pageMargins left="0.7" right="0.7" top="0.3" bottom="0.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2026-05-11T19:27:42Z</dcterms:created>
  <dc:creator>openpyxl</dc:creator>
  <dc:description/>
  <dc:language>en-US</dc:language>
  <cp:lastModifiedBy/>
  <dcterms:modified xsi:type="dcterms:W3CDTF">2026-05-11T19:28:16Z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