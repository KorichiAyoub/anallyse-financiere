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F" sheetId="1" r:id="rId5"/>
    <sheet state="visible" name="Bilan_financier" sheetId="2" r:id="rId6"/>
    <sheet state="visible" name="PASSIF" sheetId="3" r:id="rId7"/>
    <sheet state="visible" name="TR" sheetId="4" r:id="rId8"/>
  </sheets>
  <definedNames/>
  <calcPr/>
</workbook>
</file>

<file path=xl/sharedStrings.xml><?xml version="1.0" encoding="utf-8"?>
<sst xmlns="http://schemas.openxmlformats.org/spreadsheetml/2006/main" count="165" uniqueCount="101">
  <si>
    <t>ACTIF</t>
  </si>
  <si>
    <t>LIBELLE</t>
  </si>
  <si>
    <t>ACTIFS NON COURANTS</t>
  </si>
  <si>
    <t>Ecart d'acquisition-goodwill positif ou négatif</t>
  </si>
  <si>
    <t>Immobilisations incorporelles</t>
  </si>
  <si>
    <t>Immobilisations corporelles</t>
  </si>
  <si>
    <t>Terrainsx</t>
  </si>
  <si>
    <t>Bâtiments</t>
  </si>
  <si>
    <t>Autres immobilisations corporelles</t>
  </si>
  <si>
    <t>Immobilisations en concession</t>
  </si>
  <si>
    <t>Immobilisations encours</t>
  </si>
  <si>
    <t>Immobilisations financières</t>
  </si>
  <si>
    <t>Titres mis en équivalence</t>
  </si>
  <si>
    <t>Autres participations et créances rattachées</t>
  </si>
  <si>
    <t>Autres titres immobilisés</t>
  </si>
  <si>
    <t>Prêts et autres actifs financiers non courants</t>
  </si>
  <si>
    <t>Impôts différés actif</t>
  </si>
  <si>
    <t>TOTAL ACTIF NON COURANT</t>
  </si>
  <si>
    <t>ACTIF COURANT</t>
  </si>
  <si>
    <t>Stocks et encours</t>
  </si>
  <si>
    <t>Créances et emplois assimilés</t>
  </si>
  <si>
    <t>Clients</t>
  </si>
  <si>
    <t>Autres débiteurs</t>
  </si>
  <si>
    <t>Impôts et assimilés</t>
  </si>
  <si>
    <t>Autres créances et emplois assimilés</t>
  </si>
  <si>
    <t>Disponibilités et assimilés</t>
  </si>
  <si>
    <t>Placements et autres actifs financiers courants</t>
  </si>
  <si>
    <t>Trésorerie</t>
  </si>
  <si>
    <t>TOTAL ACTIF  COURANT</t>
  </si>
  <si>
    <t>TOTAL  ACTIF</t>
  </si>
  <si>
    <t>2022 (1)</t>
  </si>
  <si>
    <t>Tx</t>
  </si>
  <si>
    <t>2023 (2)</t>
  </si>
  <si>
    <t>2024 (3)</t>
  </si>
  <si>
    <t xml:space="preserve"> ACTIF NON COURANT</t>
  </si>
  <si>
    <t xml:space="preserve"> ACTIF  COURANT</t>
  </si>
  <si>
    <t>PASSIF</t>
  </si>
  <si>
    <t>2022</t>
  </si>
  <si>
    <t>CAPITAUX PROPRES</t>
  </si>
  <si>
    <t>Capital émis</t>
  </si>
  <si>
    <t>Capital non appelé</t>
  </si>
  <si>
    <t xml:space="preserve">Primes et réserves -  Réserves consolidées </t>
  </si>
  <si>
    <t>Ecart de réévaluationx</t>
  </si>
  <si>
    <t xml:space="preserve">Ecart d'équivalence </t>
  </si>
  <si>
    <t xml:space="preserve">Résultat net - Résultat net part du groupe </t>
  </si>
  <si>
    <t>Autres capitaux propores - Report à nouveau</t>
  </si>
  <si>
    <t xml:space="preserve">Part de la société consolidante </t>
  </si>
  <si>
    <t xml:space="preserve">Part des minoritaires </t>
  </si>
  <si>
    <t xml:space="preserve">TOTAL </t>
  </si>
  <si>
    <t>PASSIFS NON-COURANTS</t>
  </si>
  <si>
    <t>Emprunts et dettes financières</t>
  </si>
  <si>
    <t>Impôts (différés et provisionnés)</t>
  </si>
  <si>
    <t>Autres dettes non courantes</t>
  </si>
  <si>
    <t>Provisions et produits constatés d'avance</t>
  </si>
  <si>
    <t>PASSIFS COURANTS</t>
  </si>
  <si>
    <t>Fournisseurs et comptes rattachés</t>
  </si>
  <si>
    <t>Impôts</t>
  </si>
  <si>
    <t>Autres dettes</t>
  </si>
  <si>
    <t>Trésorerie passif</t>
  </si>
  <si>
    <t xml:space="preserve">TOTAL  PASSIF </t>
  </si>
  <si>
    <t>PASSIFS COURANTS:</t>
  </si>
  <si>
    <t xml:space="preserve"> </t>
  </si>
  <si>
    <t>-154 344 088.48</t>
  </si>
  <si>
    <t>-136 942 897.19</t>
  </si>
  <si>
    <t>-438 766 747.21</t>
  </si>
  <si>
    <t>-760 493 148.57</t>
  </si>
  <si>
    <r>
      <rPr>
        <rFont val="Wingdings"/>
        <color rgb="FF000000"/>
        <sz val="11.0"/>
      </rPr>
      <t>v</t>
    </r>
    <r>
      <rPr>
        <rFont val=""/>
        <color rgb="FF000000"/>
        <sz val="7.0"/>
      </rPr>
      <t xml:space="preserve">  </t>
    </r>
    <r>
      <rPr>
        <rFont val=""/>
        <color rgb="FF000000"/>
        <sz val="11.0"/>
      </rPr>
      <t xml:space="preserve">- 438 766 747,21 </t>
    </r>
  </si>
  <si>
    <r>
      <rPr>
        <rFont val="Wingdings"/>
        <color rgb="FF000000"/>
        <sz val="11.0"/>
      </rPr>
      <t>v</t>
    </r>
    <r>
      <rPr>
        <rFont val=""/>
        <color rgb="FF000000"/>
        <sz val="7.0"/>
      </rPr>
      <t xml:space="preserve">  </t>
    </r>
    <r>
      <rPr>
        <rFont val=""/>
        <color rgb="FF000000"/>
        <sz val="11.0"/>
      </rPr>
      <t xml:space="preserve">Résultat exercice 2022 :            -154 344 088,48 </t>
    </r>
  </si>
  <si>
    <r>
      <rPr>
        <rFont val="Wingdings"/>
        <color rgb="FF000000"/>
        <sz val="11.0"/>
      </rPr>
      <t>v</t>
    </r>
    <r>
      <rPr>
        <rFont val=""/>
        <color rgb="FF000000"/>
        <sz val="7.0"/>
      </rPr>
      <t xml:space="preserve">  </t>
    </r>
    <r>
      <rPr>
        <rFont val=""/>
        <color rgb="FF000000"/>
        <sz val="11.0"/>
      </rPr>
      <t xml:space="preserve">Résultat exercice 2023 :            -182 468 393,00 </t>
    </r>
  </si>
  <si>
    <r>
      <rPr>
        <rFont val="Wingdings"/>
        <color rgb="FF000000"/>
        <sz val="11.0"/>
      </rPr>
      <t>v</t>
    </r>
    <r>
      <rPr>
        <rFont val=""/>
        <color rgb="FF000000"/>
        <sz val="7.0"/>
      </rPr>
      <t xml:space="preserve">  </t>
    </r>
    <r>
      <rPr>
        <rFont val=""/>
        <color rgb="FF000000"/>
        <sz val="11.0"/>
      </rPr>
      <t>Résultat exercice 2024 :             -136 942 897,19 DZD </t>
    </r>
  </si>
  <si>
    <t>COMPTE DE RESULTAT</t>
  </si>
  <si>
    <t>Ventes et produits annexes</t>
  </si>
  <si>
    <t>Variation stocks produits finis et en cours</t>
  </si>
  <si>
    <t>Production immobilisée</t>
  </si>
  <si>
    <t>Subventions d'exploitation</t>
  </si>
  <si>
    <t>PRODUCTION DE L'EXERCICE</t>
  </si>
  <si>
    <t>Achats consommés</t>
  </si>
  <si>
    <t>Services extérieurs et autres consommations</t>
  </si>
  <si>
    <t>CONSOMMATION DE L'EXERCICE</t>
  </si>
  <si>
    <t xml:space="preserve">VALEUR AJOUTEE D'EXPLOITATION </t>
  </si>
  <si>
    <t>Charges de personnel</t>
  </si>
  <si>
    <t>Impôts, taxes et versements assimilés</t>
  </si>
  <si>
    <t>EXCEDENT BRUT D'EXPLOITATION</t>
  </si>
  <si>
    <t>Autres produits opérationnels</t>
  </si>
  <si>
    <t>Autres charges opérationnelles</t>
  </si>
  <si>
    <t>Dotations aux amortissements, provisions et pertes de valeurs</t>
  </si>
  <si>
    <t>Reprise sur pertes de valeur et provisions</t>
  </si>
  <si>
    <t>RESULTAT OPERATIONNEL</t>
  </si>
  <si>
    <t>Produits financiers</t>
  </si>
  <si>
    <t>Charges financières</t>
  </si>
  <si>
    <t>RESULTAT FINANCIER</t>
  </si>
  <si>
    <t xml:space="preserve">RESULTAT ORDINAIRE AVANT IMPOTS </t>
  </si>
  <si>
    <t>Impôts exigibles sur résultats ordinaires</t>
  </si>
  <si>
    <t>Impôts différés ( Variations ) sur résultats ordinaires</t>
  </si>
  <si>
    <t>TOTAL DES PRODUITS DES ACTIVITES ORDINAIRES</t>
  </si>
  <si>
    <t>TOTAL DES CHARGES DES ACTIVITES ORDINAIRES</t>
  </si>
  <si>
    <t>VIII-RESULTAT NET DES ACTIVITES ORDINAIRES</t>
  </si>
  <si>
    <t>Eléments extraordinaires (produits) (à préciser)</t>
  </si>
  <si>
    <t>Eléments extraordinaires (charges) (à préciser)</t>
  </si>
  <si>
    <t>RESULTAT EXTRAORDINAIRE</t>
  </si>
  <si>
    <t>RESULTAT NET DE L'EXERCICE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</si>
</sst>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 #,##0.00\ ;\-#,##0.00\ ;\-00\ ;\ @\ "/>
    <numFmt numFmtId="165" formatCode="\ 0\ ;\-0\ ;\-00\ ;\ @\ "/>
  </numFmts>
  <fonts count="11">
    <font>
      <sz val="11.0"/>
      <color rgb="FF000000"/>
      <name val="Calibri"/>
      <scheme val="minor"/>
    </font>
    <font>
      <b/>
      <sz val="16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0.0"/>
      <color rgb="FF000000"/>
      <name val="Calibri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Noto Sans Symbols"/>
    </font>
    <font>
      <b/>
      <sz val="10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4" numFmtId="165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3" numFmtId="0" xfId="0" applyAlignment="1" applyBorder="1" applyFont="1">
      <alignment horizontal="right" shrinkToFit="0" vertical="bottom" wrapText="0"/>
    </xf>
    <xf borderId="1" fillId="2" fontId="3" numFmtId="164" xfId="0" applyAlignment="1" applyBorder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1" fillId="3" fontId="3" numFmtId="0" xfId="0" applyAlignment="1" applyBorder="1" applyFill="1" applyFont="1">
      <alignment horizontal="right"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165" xfId="0" applyAlignment="1" applyBorder="1" applyFont="1" applyNumberFormat="1">
      <alignment horizontal="center" shrinkToFit="0" vertical="bottom" wrapText="0"/>
    </xf>
    <xf borderId="0" fillId="0" fontId="3" numFmtId="9" xfId="0" applyAlignment="1" applyFont="1" applyNumberFormat="1">
      <alignment shrinkToFit="0" vertical="bottom" wrapText="0"/>
    </xf>
    <xf borderId="1" fillId="2" fontId="3" numFmtId="9" xfId="0" applyAlignment="1" applyBorder="1" applyFont="1" applyNumberFormat="1">
      <alignment shrinkToFit="0" vertical="bottom" wrapText="0"/>
    </xf>
    <xf borderId="1" fillId="2" fontId="2" numFmtId="9" xfId="0" applyAlignment="1" applyBorder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1" fillId="2" fontId="3" numFmtId="164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center" wrapText="1"/>
    </xf>
    <xf borderId="0" fillId="0" fontId="8" numFmtId="3" xfId="0" applyAlignment="1" applyFont="1" applyNumberFormat="1">
      <alignment shrinkToFit="0" vertical="center" wrapText="1"/>
    </xf>
    <xf borderId="0" fillId="0" fontId="9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right"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4" fontId="10" numFmtId="164" xfId="0" applyAlignment="1" applyBorder="1" applyFont="1" applyNumberFormat="1">
      <alignment shrinkToFit="0" vertical="bottom" wrapText="0"/>
    </xf>
    <xf borderId="1" fillId="4" fontId="3" numFmtId="164" xfId="0" applyAlignment="1" applyBorder="1" applyFont="1" applyNumberFormat="1">
      <alignment shrinkToFit="0" vertical="bottom" wrapText="0"/>
    </xf>
    <xf borderId="1" fillId="5" fontId="2" numFmtId="164" xfId="0" applyAlignment="1" applyBorder="1" applyFill="1" applyFont="1" applyNumberFormat="1">
      <alignment shrinkToFit="0" vertical="bottom" wrapText="0"/>
    </xf>
    <xf borderId="1" fillId="4" fontId="2" numFmtId="164" xfId="0" applyAlignment="1" applyBorder="1" applyFont="1" applyNumberFormat="1">
      <alignment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1" fillId="6" fontId="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Bilan_financier!$G$27</c:f>
              <c:numCache/>
            </c:numRef>
          </c:val>
        </c:ser>
        <c:ser>
          <c:idx val="1"/>
          <c:order val="1"/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Bilan_financier!$G$28</c:f>
              <c:numCache/>
            </c:numRef>
          </c:val>
        </c:ser>
        <c:ser>
          <c:idx val="2"/>
          <c:order val="2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Bilan_financier!$G$29</c:f>
              <c:numCache/>
            </c:numRef>
          </c:val>
        </c:ser>
        <c:ser>
          <c:idx val="3"/>
          <c:order val="3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Bilan_financier!$G$30</c:f>
              <c:numCache/>
            </c:numRef>
          </c:val>
        </c:ser>
        <c:ser>
          <c:idx val="4"/>
          <c:order val="4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Bilan_financier!$G$31</c:f>
              <c:numCache/>
            </c:numRef>
          </c:val>
        </c:ser>
        <c:ser>
          <c:idx val="5"/>
          <c:order val="5"/>
          <c:spPr>
            <a:solidFill>
              <a:srgbClr val="264478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Bilan_financier!$G$32</c:f>
              <c:numCache/>
            </c:numRef>
          </c:val>
        </c:ser>
        <c:ser>
          <c:idx val="6"/>
          <c:order val="6"/>
          <c:spPr>
            <a:solidFill>
              <a:srgbClr val="9E480E"/>
            </a:solidFill>
            <a:ln cmpd="sng">
              <a:solidFill>
                <a:srgbClr val="000000"/>
              </a:solidFill>
            </a:ln>
          </c:spPr>
          <c:cat>
            <c:strRef>
              <c:f>Bilan_financier!$G$26</c:f>
            </c:strRef>
          </c:cat>
          <c:val>
            <c:numRef>
              <c:f>Bilan_financier!$G$33</c:f>
              <c:numCache/>
            </c:numRef>
          </c:val>
        </c:ser>
        <c:ser>
          <c:idx val="7"/>
          <c:order val="7"/>
          <c:cat>
            <c:strRef>
              <c:f>Bilan_financier!$G$26</c:f>
            </c:strRef>
          </c:cat>
          <c:val>
            <c:numRef>
              <c:f>Bilan_financier!$G$34</c:f>
              <c:numCache/>
            </c:numRef>
          </c:val>
        </c:ser>
        <c:ser>
          <c:idx val="8"/>
          <c:order val="8"/>
          <c:cat>
            <c:strRef>
              <c:f>Bilan_financier!$G$26</c:f>
            </c:strRef>
          </c:cat>
          <c:val>
            <c:numRef>
              <c:f>Bilan_financier!$G$35</c:f>
              <c:numCache/>
            </c:numRef>
          </c:val>
        </c:ser>
        <c:ser>
          <c:idx val="9"/>
          <c:order val="9"/>
          <c:cat>
            <c:strRef>
              <c:f>Bilan_financier!$G$26</c:f>
            </c:strRef>
          </c:cat>
          <c:val>
            <c:numRef>
              <c:f>Bilan_financier!$G$36</c:f>
              <c:numCache/>
            </c:numRef>
          </c:val>
        </c:ser>
        <c:ser>
          <c:idx val="10"/>
          <c:order val="10"/>
          <c:cat>
            <c:strRef>
              <c:f>Bilan_financier!$G$26</c:f>
            </c:strRef>
          </c:cat>
          <c:val>
            <c:numRef>
              <c:f>Bilan_financier!$G$25</c:f>
              <c:numCache/>
            </c:numRef>
          </c:val>
        </c:ser>
        <c:overlap val="100"/>
        <c:axId val="1301693153"/>
        <c:axId val="993191962"/>
      </c:barChart>
      <c:catAx>
        <c:axId val="1301693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3191962"/>
      </c:catAx>
      <c:valAx>
        <c:axId val="9931919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301693153"/>
      </c:valAx>
    </c:plotArea>
    <c:plotVisOnly val="0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72</xdr:row>
      <xdr:rowOff>38100</xdr:rowOff>
    </xdr:from>
    <xdr:ext cx="433387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48.57"/>
    <col customWidth="1" min="3" max="3" width="16.71"/>
    <col customWidth="1" min="4" max="4" width="17.43"/>
    <col customWidth="1" min="5" max="5" width="16.71"/>
    <col customWidth="1" min="6" max="7" width="8.57"/>
    <col customWidth="1" min="8" max="26" width="8.71"/>
  </cols>
  <sheetData>
    <row r="1">
      <c r="A1" s="1"/>
      <c r="B1" s="2"/>
      <c r="C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0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1</v>
      </c>
      <c r="C7" s="7">
        <v>2022.0</v>
      </c>
      <c r="D7" s="7">
        <v>2023.0</v>
      </c>
      <c r="E7" s="7">
        <v>2024.0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8" t="s">
        <v>2</v>
      </c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9" t="s">
        <v>3</v>
      </c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9" t="s">
        <v>4</v>
      </c>
      <c r="C12" s="4">
        <v>67810.35</v>
      </c>
      <c r="D12" s="4">
        <v>235001.32</v>
      </c>
      <c r="E12" s="4">
        <v>188001.3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9" t="s">
        <v>5</v>
      </c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 t="s">
        <v>6</v>
      </c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7</v>
      </c>
      <c r="C15" s="4">
        <v>3232649.99</v>
      </c>
      <c r="D15" s="4">
        <v>5745361.11</v>
      </c>
      <c r="E15" s="4">
        <v>2.874215021E7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8</v>
      </c>
      <c r="C16" s="4">
        <v>1.183319049E7</v>
      </c>
      <c r="D16" s="4">
        <v>1.493676426E7</v>
      </c>
      <c r="E16" s="4">
        <v>3.129287875E7</v>
      </c>
      <c r="F16" s="2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9</v>
      </c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9" t="s">
        <v>10</v>
      </c>
      <c r="C18" s="4">
        <v>1.059150488E7</v>
      </c>
      <c r="D18" s="4">
        <v>1.353339494E9</v>
      </c>
      <c r="E18" s="4">
        <v>1.3607295517E9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9" t="s">
        <v>11</v>
      </c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 t="s">
        <v>12</v>
      </c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 t="s">
        <v>13</v>
      </c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 t="s">
        <v>14</v>
      </c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 t="s">
        <v>15</v>
      </c>
      <c r="C23" s="4">
        <v>2.135E7</v>
      </c>
      <c r="D23" s="4">
        <v>2.1463022E7</v>
      </c>
      <c r="E23" s="4">
        <v>2.1463022E7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 t="s">
        <v>16</v>
      </c>
      <c r="C24" s="4">
        <v>4745165.24</v>
      </c>
      <c r="D24" s="3">
        <v>2680396.91</v>
      </c>
      <c r="E24" s="3">
        <v>1.531987019E7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0" t="s">
        <v>17</v>
      </c>
      <c r="C25" s="11">
        <f t="shared" ref="C25:E25" si="1">SUM(C12:C24)</f>
        <v>51820320.95</v>
      </c>
      <c r="D25" s="11">
        <f t="shared" si="1"/>
        <v>1398400040</v>
      </c>
      <c r="E25" s="11">
        <f t="shared" si="1"/>
        <v>1457735474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8" t="s">
        <v>18</v>
      </c>
      <c r="C26" s="4"/>
      <c r="D26" s="4"/>
      <c r="E26" s="4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9" t="s">
        <v>19</v>
      </c>
      <c r="C27" s="4">
        <v>5.3558135949E8</v>
      </c>
      <c r="D27" s="4">
        <v>1.1316721238E8</v>
      </c>
      <c r="E27" s="4">
        <v>6.921183241E7</v>
      </c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9" t="s">
        <v>20</v>
      </c>
      <c r="C28" s="4"/>
      <c r="D28" s="4"/>
      <c r="E28" s="4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 t="s">
        <v>21</v>
      </c>
      <c r="C29" s="4">
        <v>9387054.03</v>
      </c>
      <c r="D29" s="4">
        <v>4.463812863E7</v>
      </c>
      <c r="E29" s="4">
        <v>1.0032015334E8</v>
      </c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 t="s">
        <v>22</v>
      </c>
      <c r="C30" s="4">
        <v>4172347.23</v>
      </c>
      <c r="D30" s="4">
        <v>1.4914178152E8</v>
      </c>
      <c r="E30" s="4">
        <v>1.8760610728E8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 t="s">
        <v>23</v>
      </c>
      <c r="C31" s="4">
        <v>2.890659405E7</v>
      </c>
      <c r="D31" s="4">
        <v>4.319312872E7</v>
      </c>
      <c r="E31" s="4">
        <v>6.732941193E7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 t="s">
        <v>24</v>
      </c>
      <c r="C32" s="4"/>
      <c r="D32" s="4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9" t="s">
        <v>25</v>
      </c>
      <c r="C33" s="4"/>
      <c r="D33" s="4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 t="s">
        <v>26</v>
      </c>
      <c r="C34" s="4"/>
      <c r="D34" s="4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27</v>
      </c>
      <c r="C35" s="4">
        <v>4868294.28</v>
      </c>
      <c r="D35" s="4">
        <v>973815.15</v>
      </c>
      <c r="E35" s="4">
        <v>5.044363603E7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0" t="s">
        <v>28</v>
      </c>
      <c r="C36" s="11">
        <f t="shared" ref="C36:E36" si="2">SUM(C27:C35)</f>
        <v>582915649.1</v>
      </c>
      <c r="D36" s="11">
        <f t="shared" si="2"/>
        <v>351114066.4</v>
      </c>
      <c r="E36" s="11">
        <f t="shared" si="2"/>
        <v>474911141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3" t="s">
        <v>29</v>
      </c>
      <c r="C37" s="14">
        <f>C36+C25</f>
        <v>634735970</v>
      </c>
      <c r="D37" s="14">
        <f t="shared" ref="D37:E37" si="3">+D36+D25</f>
        <v>1749514106</v>
      </c>
      <c r="E37" s="14">
        <f t="shared" si="3"/>
        <v>1932646615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4"/>
      <c r="D38" s="4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4"/>
      <c r="D39" s="4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4"/>
      <c r="D40" s="4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4"/>
      <c r="D41" s="4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4"/>
      <c r="D42" s="4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4"/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4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4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4"/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4"/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4"/>
      <c r="D48" s="4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4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4"/>
      <c r="D50" s="4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4"/>
      <c r="D51" s="4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4"/>
      <c r="D52" s="4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4"/>
      <c r="D53" s="4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4"/>
      <c r="D54" s="4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4"/>
      <c r="D55" s="4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4"/>
      <c r="D56" s="4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4"/>
      <c r="D57" s="4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4"/>
      <c r="D58" s="4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4"/>
      <c r="D59" s="4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4"/>
      <c r="D60" s="4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4"/>
      <c r="D61" s="4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4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4"/>
      <c r="D63" s="4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4"/>
      <c r="D64" s="4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4"/>
      <c r="D65" s="4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4"/>
      <c r="D66" s="4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4"/>
      <c r="D67" s="4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4"/>
      <c r="D68" s="4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4"/>
      <c r="D69" s="4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4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4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4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4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4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4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4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4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4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4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4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4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4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4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4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4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4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4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4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4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4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4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4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4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4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4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4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4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4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4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4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4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4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4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4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4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4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4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4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4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4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4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4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4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4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4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4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4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4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4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4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4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4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4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4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4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4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4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4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4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4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4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4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4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4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4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4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4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4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4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4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4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4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4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4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4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4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4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4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4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4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4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4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4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4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4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4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4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4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4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4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4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4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4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4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4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4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4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4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4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4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4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4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4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4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4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4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4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4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4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4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4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4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4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4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4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4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4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4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4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4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4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4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4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4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4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4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4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4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4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4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4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4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4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4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4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4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4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4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4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4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4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4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4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4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4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4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4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4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4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4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4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4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4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4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4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4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4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4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4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4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4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4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4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4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4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4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4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4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4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4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4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4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4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4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4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4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4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4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4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4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4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4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4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4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4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4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4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4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4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4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4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4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4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4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4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4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4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4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4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4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4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4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4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4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4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4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4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4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4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4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4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4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4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4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4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4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4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4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4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4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4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4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4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4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4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4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4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4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4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4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4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4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4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4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4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4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4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4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4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4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4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4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4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4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4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4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4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4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4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4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4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4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4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4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4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4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4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4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4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4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4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4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4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4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4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4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4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4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4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4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4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4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4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4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4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4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4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4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4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4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4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4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4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4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4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4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4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4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4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4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4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4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4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4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4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4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4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4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4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4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4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4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4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4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4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4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4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4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4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4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4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4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4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4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4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4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4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4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4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4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4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4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4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4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4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4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4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4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4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4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4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4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4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4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4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4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4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4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4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4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4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4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4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4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4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4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4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4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4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4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4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4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4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4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4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4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4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4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4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4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4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4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4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4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4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4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4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4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4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4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4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4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4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4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4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4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4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4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4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4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4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4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4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4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4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4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4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4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4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4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4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4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4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4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4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4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4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4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4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4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4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4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4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4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4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4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4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4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4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4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4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4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4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4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4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4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4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4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4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4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4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4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4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4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4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4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4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4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4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4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4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4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4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4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4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4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4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4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4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4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4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4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4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4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4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4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4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4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4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4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4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4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4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4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4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4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4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4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4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4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4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4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4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4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4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4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4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4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4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4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4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4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4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4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4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4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4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4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4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4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4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4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4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4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4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4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4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4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4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4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4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4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4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4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4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4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4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4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4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4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4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4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4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4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4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4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4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4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4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4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4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4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4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4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4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4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4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4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4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4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4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4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4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4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4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4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4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4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4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4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4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4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4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4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4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4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4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4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4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4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4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4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4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4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4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4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4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4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4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4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4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4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4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4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4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4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4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4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4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4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4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4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4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4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4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4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4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4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4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4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4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4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4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4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4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4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4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4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4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4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4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4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4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4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4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4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4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4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4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4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4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4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4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4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4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4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4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4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4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4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4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4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4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4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4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4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4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4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4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4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4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4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4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4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4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4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4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4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4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4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4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4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4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4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4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4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4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4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4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4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4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4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4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4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4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4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4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4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4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4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4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4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4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4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4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4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4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4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4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4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4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4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4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4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4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4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4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4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4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4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4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4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4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4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4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4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4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4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4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4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4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4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4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4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4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4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4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4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4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4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4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4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4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4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4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4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4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4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4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4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4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4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4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4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4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4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4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4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4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4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4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4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4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4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4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4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4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4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4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4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4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4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4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4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4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4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4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4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4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4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4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4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4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4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4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4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4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4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4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4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4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4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4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4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4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4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4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4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4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4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4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4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4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4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4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4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4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4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4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4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4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4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4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4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4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4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4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4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4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4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4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4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4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4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4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4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4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4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4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4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4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4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4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4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4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4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4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4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4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4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4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4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4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4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4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4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4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4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4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4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4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4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4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4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4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4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4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4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4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4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4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4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4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4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4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4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4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4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4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4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4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4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4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4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4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4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4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4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4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4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4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4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4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4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4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4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4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4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4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4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4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4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4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4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4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4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4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4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4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4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4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4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4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4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4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4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4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4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4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4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4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4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4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4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4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4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4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4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4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4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4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4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4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4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4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4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4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4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4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4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4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4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4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4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4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4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4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4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4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4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4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4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4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4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4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4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4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4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4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4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4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4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4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4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4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4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4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4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4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4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4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4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4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4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4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4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4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4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4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4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4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4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4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4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4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4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4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4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4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4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4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4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4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4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4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4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4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4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4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4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C1:D1"/>
    <mergeCell ref="C2:D2"/>
    <mergeCell ref="C3:D3"/>
    <mergeCell ref="B5:D5"/>
  </mergeCells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48.57"/>
    <col customWidth="1" min="3" max="3" width="16.71"/>
    <col customWidth="1" min="4" max="4" width="5.43"/>
    <col customWidth="1" min="5" max="5" width="17.43"/>
    <col customWidth="1" min="6" max="6" width="5.71"/>
    <col customWidth="1" min="7" max="7" width="16.71"/>
    <col customWidth="1" min="8" max="8" width="5.57"/>
    <col customWidth="1" min="9" max="10" width="8.57"/>
    <col customWidth="1" min="11" max="11" width="14.0"/>
    <col customWidth="1" min="12" max="26" width="8.71"/>
  </cols>
  <sheetData>
    <row r="1">
      <c r="A1" s="2"/>
      <c r="B1" s="2"/>
      <c r="C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/>
      <c r="D4" s="4"/>
      <c r="E4" s="4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5" t="s">
        <v>0</v>
      </c>
      <c r="F5" s="5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6" t="s">
        <v>1</v>
      </c>
      <c r="C7" s="17" t="s">
        <v>30</v>
      </c>
      <c r="D7" s="17" t="s">
        <v>31</v>
      </c>
      <c r="E7" s="17" t="s">
        <v>32</v>
      </c>
      <c r="F7" s="17" t="s">
        <v>31</v>
      </c>
      <c r="G7" s="17" t="s">
        <v>33</v>
      </c>
      <c r="H7" s="17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idden="1">
      <c r="A8" s="2"/>
      <c r="B8" s="2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2"/>
      <c r="B9" s="2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2"/>
      <c r="B10" s="8" t="s">
        <v>2</v>
      </c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2"/>
      <c r="B11" s="9" t="s">
        <v>3</v>
      </c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2"/>
      <c r="B12" s="9" t="s">
        <v>4</v>
      </c>
      <c r="C12" s="4">
        <v>67810.35</v>
      </c>
      <c r="D12" s="4"/>
      <c r="E12" s="4">
        <v>235001.32</v>
      </c>
      <c r="F12" s="4"/>
      <c r="G12" s="4">
        <v>188001.3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2"/>
      <c r="B13" s="9" t="s">
        <v>5</v>
      </c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2"/>
      <c r="B14" s="2" t="s">
        <v>6</v>
      </c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2"/>
      <c r="B15" s="2" t="s">
        <v>7</v>
      </c>
      <c r="C15" s="4">
        <v>3232649.99</v>
      </c>
      <c r="D15" s="4"/>
      <c r="E15" s="4">
        <v>5745361.11</v>
      </c>
      <c r="F15" s="4"/>
      <c r="G15" s="4">
        <v>2.874215021E7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2"/>
      <c r="B16" s="2" t="s">
        <v>8</v>
      </c>
      <c r="C16" s="4">
        <v>1.183319049E7</v>
      </c>
      <c r="D16" s="4"/>
      <c r="E16" s="4">
        <v>1.493676426E7</v>
      </c>
      <c r="F16" s="4"/>
      <c r="G16" s="4">
        <v>3.129287875E7</v>
      </c>
      <c r="H16" s="2"/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2"/>
      <c r="B17" s="2" t="s">
        <v>9</v>
      </c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2"/>
      <c r="B18" s="9" t="s">
        <v>10</v>
      </c>
      <c r="C18" s="4">
        <v>1.059150488E7</v>
      </c>
      <c r="D18" s="4"/>
      <c r="E18" s="4">
        <v>1.353339494E9</v>
      </c>
      <c r="F18" s="4"/>
      <c r="G18" s="4">
        <v>1.3607295517E9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2"/>
      <c r="B19" s="9" t="s">
        <v>11</v>
      </c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2"/>
      <c r="B20" s="2" t="s">
        <v>12</v>
      </c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hidden="1" customHeight="1">
      <c r="A21" s="2"/>
      <c r="B21" s="2" t="s">
        <v>13</v>
      </c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hidden="1" customHeight="1">
      <c r="A22" s="2"/>
      <c r="B22" s="2" t="s">
        <v>14</v>
      </c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hidden="1" customHeight="1">
      <c r="A23" s="2"/>
      <c r="B23" s="2" t="s">
        <v>15</v>
      </c>
      <c r="C23" s="4">
        <v>2.135E7</v>
      </c>
      <c r="D23" s="4"/>
      <c r="E23" s="4">
        <v>2.1463022E7</v>
      </c>
      <c r="F23" s="4"/>
      <c r="G23" s="4">
        <v>2.1463022E7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hidden="1" customHeight="1">
      <c r="A24" s="2"/>
      <c r="B24" s="2" t="s">
        <v>16</v>
      </c>
      <c r="C24" s="4">
        <v>4745165.24</v>
      </c>
      <c r="D24" s="4"/>
      <c r="E24" s="3">
        <v>2680396.91</v>
      </c>
      <c r="F24" s="3"/>
      <c r="G24" s="3">
        <v>1.531987019E7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8" t="s">
        <v>34</v>
      </c>
      <c r="C25" s="3">
        <f>SUM(C12:C24)</f>
        <v>51820320.95</v>
      </c>
      <c r="D25" s="18">
        <f>C25/C37</f>
        <v>0.08164075048</v>
      </c>
      <c r="E25" s="3">
        <f>SUM(E12:E24)</f>
        <v>1398400040</v>
      </c>
      <c r="F25" s="18">
        <f>+E25/E37</f>
        <v>0.7993076677</v>
      </c>
      <c r="G25" s="3">
        <f>SUM(G12:G24)</f>
        <v>1457735474</v>
      </c>
      <c r="H25" s="12">
        <f>+G25/G37</f>
        <v>0.754269023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hidden="1" customHeight="1">
      <c r="A26" s="2"/>
      <c r="B26" s="8" t="s">
        <v>18</v>
      </c>
      <c r="C26" s="4"/>
      <c r="D26" s="4"/>
      <c r="E26" s="4"/>
      <c r="F26" s="12"/>
      <c r="G26" s="4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hidden="1" customHeight="1">
      <c r="A27" s="2"/>
      <c r="B27" s="9" t="s">
        <v>19</v>
      </c>
      <c r="C27" s="4">
        <v>5.3558135949E8</v>
      </c>
      <c r="D27" s="4"/>
      <c r="E27" s="4">
        <v>1.1316721238E8</v>
      </c>
      <c r="F27" s="12"/>
      <c r="G27" s="4">
        <v>6.921183241E7</v>
      </c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hidden="1" customHeight="1">
      <c r="A28" s="2"/>
      <c r="B28" s="9" t="s">
        <v>20</v>
      </c>
      <c r="C28" s="4"/>
      <c r="D28" s="4"/>
      <c r="E28" s="4"/>
      <c r="F28" s="12"/>
      <c r="G28" s="4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hidden="1" customHeight="1">
      <c r="A29" s="2"/>
      <c r="B29" s="2" t="s">
        <v>21</v>
      </c>
      <c r="C29" s="4">
        <v>9387054.03</v>
      </c>
      <c r="D29" s="4"/>
      <c r="E29" s="4">
        <v>4.463812863E7</v>
      </c>
      <c r="F29" s="12"/>
      <c r="G29" s="4">
        <v>1.0032015334E8</v>
      </c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hidden="1" customHeight="1">
      <c r="A30" s="2"/>
      <c r="B30" s="2" t="s">
        <v>22</v>
      </c>
      <c r="C30" s="4">
        <v>4172347.23</v>
      </c>
      <c r="D30" s="4"/>
      <c r="E30" s="4">
        <v>1.4914178152E8</v>
      </c>
      <c r="F30" s="12"/>
      <c r="G30" s="4">
        <v>1.8760610728E8</v>
      </c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hidden="1" customHeight="1">
      <c r="A31" s="2"/>
      <c r="B31" s="2" t="s">
        <v>23</v>
      </c>
      <c r="C31" s="4">
        <v>2.890659405E7</v>
      </c>
      <c r="D31" s="4"/>
      <c r="E31" s="4">
        <v>4.319312872E7</v>
      </c>
      <c r="F31" s="12"/>
      <c r="G31" s="4">
        <v>6.732941193E7</v>
      </c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hidden="1" customHeight="1">
      <c r="A32" s="2"/>
      <c r="B32" s="2" t="s">
        <v>24</v>
      </c>
      <c r="C32" s="4"/>
      <c r="D32" s="4"/>
      <c r="E32" s="4"/>
      <c r="F32" s="12"/>
      <c r="G32" s="4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hidden="1" customHeight="1">
      <c r="A33" s="2"/>
      <c r="B33" s="9" t="s">
        <v>25</v>
      </c>
      <c r="C33" s="4"/>
      <c r="D33" s="4"/>
      <c r="E33" s="4"/>
      <c r="F33" s="12"/>
      <c r="G33" s="4"/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hidden="1" customHeight="1">
      <c r="A34" s="2"/>
      <c r="B34" s="2" t="s">
        <v>26</v>
      </c>
      <c r="C34" s="4"/>
      <c r="D34" s="4"/>
      <c r="E34" s="4"/>
      <c r="F34" s="12"/>
      <c r="G34" s="4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hidden="1" customHeight="1">
      <c r="A35" s="2"/>
      <c r="B35" s="2" t="s">
        <v>27</v>
      </c>
      <c r="C35" s="4">
        <v>4868294.28</v>
      </c>
      <c r="D35" s="4"/>
      <c r="E35" s="4">
        <v>973815.15</v>
      </c>
      <c r="F35" s="12"/>
      <c r="G35" s="4">
        <v>5.044363603E7</v>
      </c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8" t="s">
        <v>35</v>
      </c>
      <c r="C36" s="3">
        <f>SUM(C27:C35)</f>
        <v>582915649.1</v>
      </c>
      <c r="D36" s="18">
        <f>+C36/C37</f>
        <v>0.9183592495</v>
      </c>
      <c r="E36" s="3">
        <f>SUM(E27:E35)</f>
        <v>351114066.4</v>
      </c>
      <c r="F36" s="18">
        <f>+E36/E37</f>
        <v>0.2006923323</v>
      </c>
      <c r="G36" s="3">
        <f>SUM(G27:G35)</f>
        <v>474911141</v>
      </c>
      <c r="H36" s="12">
        <f>+G36/G37</f>
        <v>0.245730977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6" t="s">
        <v>29</v>
      </c>
      <c r="C37" s="11">
        <f>C36+C25</f>
        <v>634735970</v>
      </c>
      <c r="D37" s="19">
        <f>SUM(D25:D36)</f>
        <v>1</v>
      </c>
      <c r="E37" s="11">
        <f>+E36+E25</f>
        <v>1749514106</v>
      </c>
      <c r="F37" s="19">
        <f>SUM(F25:F36)</f>
        <v>1</v>
      </c>
      <c r="G37" s="11">
        <f>+G36+G25</f>
        <v>1932646615</v>
      </c>
      <c r="H37" s="20">
        <f>SUM(H25:H36)</f>
        <v>1</v>
      </c>
      <c r="I37" s="2"/>
      <c r="J37" s="2"/>
      <c r="K37" s="2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2"/>
      <c r="C38" s="3"/>
      <c r="D38" s="18"/>
      <c r="E38" s="3"/>
      <c r="F38" s="18"/>
      <c r="G38" s="3"/>
      <c r="H38" s="12"/>
      <c r="I38" s="2"/>
      <c r="J38" s="2"/>
      <c r="K38" s="2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2"/>
      <c r="C39" s="3"/>
      <c r="D39" s="18"/>
      <c r="E39" s="3"/>
      <c r="F39" s="18"/>
      <c r="G39" s="3"/>
      <c r="H39" s="12"/>
      <c r="I39" s="2"/>
      <c r="J39" s="2"/>
      <c r="K39" s="2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2"/>
      <c r="C40" s="3"/>
      <c r="D40" s="18"/>
      <c r="E40" s="3"/>
      <c r="F40" s="18"/>
      <c r="G40" s="3"/>
      <c r="H40" s="12"/>
      <c r="I40" s="2"/>
      <c r="J40" s="2"/>
      <c r="K40" s="2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2"/>
      <c r="C41" s="3"/>
      <c r="D41" s="18"/>
      <c r="E41" s="3"/>
      <c r="F41" s="18"/>
      <c r="G41" s="3"/>
      <c r="H41" s="12"/>
      <c r="I41" s="2"/>
      <c r="J41" s="2"/>
      <c r="K41" s="2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2"/>
      <c r="C42" s="3"/>
      <c r="D42" s="18"/>
      <c r="E42" s="3"/>
      <c r="F42" s="18"/>
      <c r="G42" s="3"/>
      <c r="H42" s="12"/>
      <c r="I42" s="2"/>
      <c r="J42" s="2"/>
      <c r="K42" s="2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4"/>
      <c r="D43" s="4"/>
      <c r="E43" s="4"/>
      <c r="F43" s="4"/>
      <c r="G43" s="4"/>
      <c r="H43" s="2"/>
      <c r="I43" s="2"/>
      <c r="J43" s="2"/>
      <c r="K43" s="2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4"/>
      <c r="D44" s="4"/>
      <c r="E44" s="4"/>
      <c r="F44" s="4"/>
      <c r="G44" s="4"/>
      <c r="H44" s="2"/>
      <c r="I44" s="2"/>
      <c r="J44" s="2"/>
      <c r="K44" s="2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15" t="s">
        <v>36</v>
      </c>
      <c r="F45" s="15"/>
      <c r="G45" s="4"/>
      <c r="H45" s="2"/>
      <c r="I45" s="2"/>
      <c r="J45" s="2"/>
      <c r="K45" s="1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3"/>
      <c r="C46" s="24"/>
      <c r="D46" s="24"/>
      <c r="E46" s="24"/>
      <c r="F46" s="24"/>
      <c r="G46" s="2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16" t="s">
        <v>1</v>
      </c>
      <c r="C47" s="25" t="s">
        <v>37</v>
      </c>
      <c r="D47" s="17" t="s">
        <v>31</v>
      </c>
      <c r="E47" s="17">
        <v>2023.0</v>
      </c>
      <c r="F47" s="17" t="s">
        <v>31</v>
      </c>
      <c r="G47" s="17">
        <v>2024.0</v>
      </c>
      <c r="H47" s="7" t="s">
        <v>31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8" t="s">
        <v>38</v>
      </c>
      <c r="C48" s="4">
        <f>C58</f>
        <v>-236055835.7</v>
      </c>
      <c r="D48" s="12">
        <f>+C48/C71</f>
        <v>-0.3718961062</v>
      </c>
      <c r="E48" s="4">
        <f>E58</f>
        <v>-342319196</v>
      </c>
      <c r="F48" s="12">
        <f>+E48/E71</f>
        <v>-0.1956652963</v>
      </c>
      <c r="G48" s="4">
        <f>G58</f>
        <v>-540381045.9</v>
      </c>
      <c r="H48" s="12">
        <f>+G48/G71</f>
        <v>-0.2796067148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hidden="1" customHeight="1">
      <c r="A49" s="2"/>
      <c r="B49" s="8" t="s">
        <v>39</v>
      </c>
      <c r="C49" s="4">
        <v>3.5448E8</v>
      </c>
      <c r="D49" s="12"/>
      <c r="E49" s="4">
        <f>+C49</f>
        <v>354480000</v>
      </c>
      <c r="F49" s="12"/>
      <c r="G49" s="4">
        <v>3.5448E8</v>
      </c>
      <c r="H49" s="1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hidden="1" customHeight="1">
      <c r="A50" s="2"/>
      <c r="B50" s="8" t="s">
        <v>40</v>
      </c>
      <c r="C50" s="4"/>
      <c r="D50" s="12"/>
      <c r="E50" s="4"/>
      <c r="F50" s="12"/>
      <c r="G50" s="4"/>
      <c r="H50" s="1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hidden="1" customHeight="1">
      <c r="A51" s="2"/>
      <c r="B51" s="8" t="s">
        <v>41</v>
      </c>
      <c r="C51" s="4">
        <v>2575000.0</v>
      </c>
      <c r="D51" s="12"/>
      <c r="E51" s="4">
        <v>2575000.0</v>
      </c>
      <c r="F51" s="12"/>
      <c r="G51" s="4">
        <v>2575000.0</v>
      </c>
      <c r="H51" s="1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hidden="1" customHeight="1">
      <c r="A52" s="2"/>
      <c r="B52" s="8" t="s">
        <v>42</v>
      </c>
      <c r="C52" s="4"/>
      <c r="D52" s="12"/>
      <c r="E52" s="4"/>
      <c r="F52" s="12"/>
      <c r="G52" s="4"/>
      <c r="H52" s="1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hidden="1" customHeight="1">
      <c r="A53" s="2"/>
      <c r="B53" s="8" t="s">
        <v>43</v>
      </c>
      <c r="C53" s="4"/>
      <c r="D53" s="12"/>
      <c r="E53" s="4"/>
      <c r="F53" s="12"/>
      <c r="G53" s="4"/>
      <c r="H53" s="1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hidden="1" customHeight="1">
      <c r="A54" s="2"/>
      <c r="B54" s="8" t="s">
        <v>44</v>
      </c>
      <c r="C54" s="4">
        <v>-1.5434408848E8</v>
      </c>
      <c r="D54" s="12"/>
      <c r="E54" s="4">
        <v>-1.82468393E8</v>
      </c>
      <c r="F54" s="12"/>
      <c r="G54" s="4">
        <v>-1.3694289719E8</v>
      </c>
      <c r="H54" s="1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hidden="1" customHeight="1">
      <c r="A55" s="2"/>
      <c r="B55" s="8" t="s">
        <v>45</v>
      </c>
      <c r="C55" s="4">
        <v>-4.3876674721E8</v>
      </c>
      <c r="D55" s="12"/>
      <c r="E55" s="4">
        <v>-5.16905803E8</v>
      </c>
      <c r="F55" s="12"/>
      <c r="G55" s="4">
        <v>-7.6049314867E8</v>
      </c>
      <c r="H55" s="1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hidden="1" customHeight="1">
      <c r="A56" s="2"/>
      <c r="B56" s="8" t="s">
        <v>46</v>
      </c>
      <c r="C56" s="4"/>
      <c r="D56" s="12"/>
      <c r="E56" s="4"/>
      <c r="F56" s="12"/>
      <c r="G56" s="4"/>
      <c r="H56" s="1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hidden="1" customHeight="1">
      <c r="A57" s="2"/>
      <c r="B57" s="8" t="s">
        <v>47</v>
      </c>
      <c r="C57" s="4"/>
      <c r="D57" s="12"/>
      <c r="E57" s="4"/>
      <c r="F57" s="12"/>
      <c r="G57" s="4"/>
      <c r="H57" s="1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hidden="1" customHeight="1">
      <c r="A58" s="2"/>
      <c r="B58" s="8" t="s">
        <v>48</v>
      </c>
      <c r="C58" s="3">
        <f>SUM(C49:C55)</f>
        <v>-236055835.7</v>
      </c>
      <c r="D58" s="18"/>
      <c r="E58" s="3">
        <f>SUM(E49:E55)</f>
        <v>-342319196</v>
      </c>
      <c r="F58" s="18"/>
      <c r="G58" s="3">
        <f>SUM(G49:G55)</f>
        <v>-540381045.9</v>
      </c>
      <c r="H58" s="1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8" t="s">
        <v>49</v>
      </c>
      <c r="C59" s="4">
        <f>C64</f>
        <v>50170676.07</v>
      </c>
      <c r="D59" s="12">
        <f>+C59/C71</f>
        <v>0.0790418039</v>
      </c>
      <c r="E59" s="4">
        <f>E64</f>
        <v>1440283451</v>
      </c>
      <c r="F59" s="12">
        <f>+E59/E71</f>
        <v>0.8232476926</v>
      </c>
      <c r="G59" s="4">
        <f>G64</f>
        <v>1706499598</v>
      </c>
      <c r="H59" s="12">
        <f>+G59/G71</f>
        <v>0.8829857192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hidden="1" customHeight="1">
      <c r="A60" s="2"/>
      <c r="B60" s="8" t="s">
        <v>50</v>
      </c>
      <c r="C60" s="4">
        <v>9684114.82</v>
      </c>
      <c r="D60" s="12"/>
      <c r="E60" s="4">
        <v>1.390781954E9</v>
      </c>
      <c r="F60" s="12"/>
      <c r="G60" s="4">
        <v>1.671801967E9</v>
      </c>
      <c r="H60" s="1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hidden="1" customHeight="1">
      <c r="A61" s="2"/>
      <c r="B61" s="8" t="s">
        <v>51</v>
      </c>
      <c r="C61" s="4"/>
      <c r="D61" s="12"/>
      <c r="E61" s="4"/>
      <c r="F61" s="12"/>
      <c r="G61" s="4"/>
      <c r="H61" s="1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hidden="1" customHeight="1">
      <c r="A62" s="2"/>
      <c r="B62" s="8" t="s">
        <v>52</v>
      </c>
      <c r="C62" s="4"/>
      <c r="D62" s="12"/>
      <c r="E62" s="4"/>
      <c r="F62" s="12"/>
      <c r="G62" s="4"/>
      <c r="H62" s="1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hidden="1" customHeight="1">
      <c r="A63" s="2"/>
      <c r="B63" s="8" t="s">
        <v>53</v>
      </c>
      <c r="C63" s="4">
        <v>4.048656125E7</v>
      </c>
      <c r="D63" s="12"/>
      <c r="E63" s="4">
        <v>4.9501497E7</v>
      </c>
      <c r="F63" s="12"/>
      <c r="G63" s="4">
        <v>3.4697631E7</v>
      </c>
      <c r="H63" s="1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hidden="1" customHeight="1">
      <c r="A64" s="2"/>
      <c r="B64" s="8" t="s">
        <v>48</v>
      </c>
      <c r="C64" s="3">
        <f>SUM(C60:C63)</f>
        <v>50170676.07</v>
      </c>
      <c r="D64" s="18"/>
      <c r="E64" s="3">
        <f>SUM(E60:E63)</f>
        <v>1440283451</v>
      </c>
      <c r="F64" s="18"/>
      <c r="G64" s="3">
        <f>SUM(G60:G63)</f>
        <v>1706499598</v>
      </c>
      <c r="H64" s="1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8" t="s">
        <v>54</v>
      </c>
      <c r="C65" s="4">
        <f>C70</f>
        <v>820621129.7</v>
      </c>
      <c r="D65" s="12">
        <f>+C65/C71</f>
        <v>1.292854302</v>
      </c>
      <c r="E65" s="4">
        <f>E70</f>
        <v>651549851</v>
      </c>
      <c r="F65" s="12">
        <f>+E65/E71</f>
        <v>0.3724176037</v>
      </c>
      <c r="G65" s="4">
        <f>G70</f>
        <v>766528331</v>
      </c>
      <c r="H65" s="12">
        <f>+G65/G71</f>
        <v>0.3966209956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hidden="1" customHeight="1">
      <c r="A66" s="2"/>
      <c r="B66" s="26" t="s">
        <v>55</v>
      </c>
      <c r="C66" s="4">
        <v>1.5960828461E8</v>
      </c>
      <c r="D66" s="4"/>
      <c r="E66" s="4">
        <v>1.78648965E8</v>
      </c>
      <c r="F66" s="4"/>
      <c r="G66" s="4">
        <v>1.99698588E8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hidden="1" customHeight="1">
      <c r="A67" s="2"/>
      <c r="B67" s="26" t="s">
        <v>56</v>
      </c>
      <c r="C67" s="4">
        <v>1.204238274E7</v>
      </c>
      <c r="D67" s="4"/>
      <c r="E67" s="4">
        <v>1.563194E7</v>
      </c>
      <c r="F67" s="4"/>
      <c r="G67" s="4">
        <v>1.6846652E7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hidden="1" customHeight="1">
      <c r="A68" s="2"/>
      <c r="B68" s="26" t="s">
        <v>57</v>
      </c>
      <c r="C68" s="4">
        <v>6.489704623E8</v>
      </c>
      <c r="D68" s="4"/>
      <c r="E68" s="4">
        <v>4.45416701E8</v>
      </c>
      <c r="F68" s="4"/>
      <c r="G68" s="4">
        <v>4.21858856E8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hidden="1" customHeight="1">
      <c r="A69" s="2"/>
      <c r="B69" s="26" t="s">
        <v>58</v>
      </c>
      <c r="C69" s="4"/>
      <c r="D69" s="4"/>
      <c r="E69" s="4">
        <v>1.1852245E7</v>
      </c>
      <c r="F69" s="4"/>
      <c r="G69" s="4">
        <v>1.28124235E8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hidden="1" customHeight="1">
      <c r="A70" s="2"/>
      <c r="B70" s="26" t="s">
        <v>48</v>
      </c>
      <c r="C70" s="11">
        <f>SUM(C66:C69)</f>
        <v>820621129.7</v>
      </c>
      <c r="D70" s="11"/>
      <c r="E70" s="11">
        <f>SUM(E66:E69)</f>
        <v>651549851</v>
      </c>
      <c r="F70" s="11"/>
      <c r="G70" s="11">
        <f>SUM(G66:G69)</f>
        <v>766528331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6" t="s">
        <v>59</v>
      </c>
      <c r="C71" s="11">
        <v>6.3473597003E8</v>
      </c>
      <c r="D71" s="19">
        <f>SUM(D48:D70)</f>
        <v>1</v>
      </c>
      <c r="E71" s="11">
        <f>+E70+E64+E58</f>
        <v>1749514106</v>
      </c>
      <c r="F71" s="19">
        <f>SUM(F48:F70)</f>
        <v>1</v>
      </c>
      <c r="G71" s="11">
        <f>+G70+G58+G64</f>
        <v>1932646883</v>
      </c>
      <c r="H71" s="20">
        <f>SUM(H48:H70)</f>
        <v>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4"/>
      <c r="D501" s="4"/>
      <c r="E501" s="4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4"/>
      <c r="D502" s="4"/>
      <c r="E502" s="4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4"/>
      <c r="D503" s="4"/>
      <c r="E503" s="4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4"/>
      <c r="D504" s="4"/>
      <c r="E504" s="4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4"/>
      <c r="D505" s="4"/>
      <c r="E505" s="4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4"/>
      <c r="D506" s="4"/>
      <c r="E506" s="4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4"/>
      <c r="D507" s="4"/>
      <c r="E507" s="4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4"/>
      <c r="D508" s="4"/>
      <c r="E508" s="4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4"/>
      <c r="D509" s="4"/>
      <c r="E509" s="4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4"/>
      <c r="D510" s="4"/>
      <c r="E510" s="4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4"/>
      <c r="D511" s="4"/>
      <c r="E511" s="4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4"/>
      <c r="D512" s="4"/>
      <c r="E512" s="4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4"/>
      <c r="D513" s="4"/>
      <c r="E513" s="4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4"/>
      <c r="D514" s="4"/>
      <c r="E514" s="4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4"/>
      <c r="D515" s="4"/>
      <c r="E515" s="4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4"/>
      <c r="D516" s="4"/>
      <c r="E516" s="4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4"/>
      <c r="D517" s="4"/>
      <c r="E517" s="4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4"/>
      <c r="D518" s="4"/>
      <c r="E518" s="4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4"/>
      <c r="D519" s="4"/>
      <c r="E519" s="4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4"/>
      <c r="D520" s="4"/>
      <c r="E520" s="4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4"/>
      <c r="D521" s="4"/>
      <c r="E521" s="4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4"/>
      <c r="D522" s="4"/>
      <c r="E522" s="4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4"/>
      <c r="D523" s="4"/>
      <c r="E523" s="4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4"/>
      <c r="D524" s="4"/>
      <c r="E524" s="4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4"/>
      <c r="D525" s="4"/>
      <c r="E525" s="4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4"/>
      <c r="D526" s="4"/>
      <c r="E526" s="4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4"/>
      <c r="D527" s="4"/>
      <c r="E527" s="4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4"/>
      <c r="D528" s="4"/>
      <c r="E528" s="4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4"/>
      <c r="D529" s="4"/>
      <c r="E529" s="4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4"/>
      <c r="D530" s="4"/>
      <c r="E530" s="4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4"/>
      <c r="D531" s="4"/>
      <c r="E531" s="4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4"/>
      <c r="D532" s="4"/>
      <c r="E532" s="4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4"/>
      <c r="D533" s="4"/>
      <c r="E533" s="4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4"/>
      <c r="D534" s="4"/>
      <c r="E534" s="4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4"/>
      <c r="D535" s="4"/>
      <c r="E535" s="4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4"/>
      <c r="D536" s="4"/>
      <c r="E536" s="4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4"/>
      <c r="D537" s="4"/>
      <c r="E537" s="4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4"/>
      <c r="D538" s="4"/>
      <c r="E538" s="4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4"/>
      <c r="D539" s="4"/>
      <c r="E539" s="4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4"/>
      <c r="D540" s="4"/>
      <c r="E540" s="4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4"/>
      <c r="D541" s="4"/>
      <c r="E541" s="4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4"/>
      <c r="D542" s="4"/>
      <c r="E542" s="4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4"/>
      <c r="D543" s="4"/>
      <c r="E543" s="4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4"/>
      <c r="D544" s="4"/>
      <c r="E544" s="4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4"/>
      <c r="D545" s="4"/>
      <c r="E545" s="4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4"/>
      <c r="D546" s="4"/>
      <c r="E546" s="4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4"/>
      <c r="D547" s="4"/>
      <c r="E547" s="4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4"/>
      <c r="D548" s="4"/>
      <c r="E548" s="4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4"/>
      <c r="D549" s="4"/>
      <c r="E549" s="4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4"/>
      <c r="D550" s="4"/>
      <c r="E550" s="4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4"/>
      <c r="D551" s="4"/>
      <c r="E551" s="4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4"/>
      <c r="D552" s="4"/>
      <c r="E552" s="4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4"/>
      <c r="D553" s="4"/>
      <c r="E553" s="4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4"/>
      <c r="D554" s="4"/>
      <c r="E554" s="4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4"/>
      <c r="D555" s="4"/>
      <c r="E555" s="4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4"/>
      <c r="D556" s="4"/>
      <c r="E556" s="4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4"/>
      <c r="D557" s="4"/>
      <c r="E557" s="4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4"/>
      <c r="D558" s="4"/>
      <c r="E558" s="4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4"/>
      <c r="D559" s="4"/>
      <c r="E559" s="4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4"/>
      <c r="D560" s="4"/>
      <c r="E560" s="4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4"/>
      <c r="D561" s="4"/>
      <c r="E561" s="4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4"/>
      <c r="D562" s="4"/>
      <c r="E562" s="4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4"/>
      <c r="D563" s="4"/>
      <c r="E563" s="4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4"/>
      <c r="D564" s="4"/>
      <c r="E564" s="4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4"/>
      <c r="D565" s="4"/>
      <c r="E565" s="4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4"/>
      <c r="D566" s="4"/>
      <c r="E566" s="4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4"/>
      <c r="D567" s="4"/>
      <c r="E567" s="4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4"/>
      <c r="D568" s="4"/>
      <c r="E568" s="4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4"/>
      <c r="D569" s="4"/>
      <c r="E569" s="4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4"/>
      <c r="D570" s="4"/>
      <c r="E570" s="4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4"/>
      <c r="D571" s="4"/>
      <c r="E571" s="4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4"/>
      <c r="D572" s="4"/>
      <c r="E572" s="4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4"/>
      <c r="D573" s="4"/>
      <c r="E573" s="4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4"/>
      <c r="D574" s="4"/>
      <c r="E574" s="4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4"/>
      <c r="D575" s="4"/>
      <c r="E575" s="4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4"/>
      <c r="D576" s="4"/>
      <c r="E576" s="4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4"/>
      <c r="D577" s="4"/>
      <c r="E577" s="4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4"/>
      <c r="D578" s="4"/>
      <c r="E578" s="4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4"/>
      <c r="D579" s="4"/>
      <c r="E579" s="4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4"/>
      <c r="D580" s="4"/>
      <c r="E580" s="4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4"/>
      <c r="D581" s="4"/>
      <c r="E581" s="4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4"/>
      <c r="D582" s="4"/>
      <c r="E582" s="4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4"/>
      <c r="D583" s="4"/>
      <c r="E583" s="4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4"/>
      <c r="D584" s="4"/>
      <c r="E584" s="4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4"/>
      <c r="D585" s="4"/>
      <c r="E585" s="4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4"/>
      <c r="D586" s="4"/>
      <c r="E586" s="4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4"/>
      <c r="D587" s="4"/>
      <c r="E587" s="4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4"/>
      <c r="D588" s="4"/>
      <c r="E588" s="4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4"/>
      <c r="D589" s="4"/>
      <c r="E589" s="4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4"/>
      <c r="D590" s="4"/>
      <c r="E590" s="4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4"/>
      <c r="D591" s="4"/>
      <c r="E591" s="4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4"/>
      <c r="D592" s="4"/>
      <c r="E592" s="4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4"/>
      <c r="D593" s="4"/>
      <c r="E593" s="4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4"/>
      <c r="D594" s="4"/>
      <c r="E594" s="4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4"/>
      <c r="D595" s="4"/>
      <c r="E595" s="4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4"/>
      <c r="D596" s="4"/>
      <c r="E596" s="4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4"/>
      <c r="D597" s="4"/>
      <c r="E597" s="4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4"/>
      <c r="D598" s="4"/>
      <c r="E598" s="4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4"/>
      <c r="D599" s="4"/>
      <c r="E599" s="4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4"/>
      <c r="D600" s="4"/>
      <c r="E600" s="4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4"/>
      <c r="D601" s="4"/>
      <c r="E601" s="4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4"/>
      <c r="D602" s="4"/>
      <c r="E602" s="4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4"/>
      <c r="D603" s="4"/>
      <c r="E603" s="4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4"/>
      <c r="D604" s="4"/>
      <c r="E604" s="4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4"/>
      <c r="D605" s="4"/>
      <c r="E605" s="4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4"/>
      <c r="D606" s="4"/>
      <c r="E606" s="4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4"/>
      <c r="D607" s="4"/>
      <c r="E607" s="4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4"/>
      <c r="D608" s="4"/>
      <c r="E608" s="4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4"/>
      <c r="D609" s="4"/>
      <c r="E609" s="4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4"/>
      <c r="D610" s="4"/>
      <c r="E610" s="4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4"/>
      <c r="D611" s="4"/>
      <c r="E611" s="4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4"/>
      <c r="D612" s="4"/>
      <c r="E612" s="4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4"/>
      <c r="D613" s="4"/>
      <c r="E613" s="4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4"/>
      <c r="D614" s="4"/>
      <c r="E614" s="4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4"/>
      <c r="D615" s="4"/>
      <c r="E615" s="4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4"/>
      <c r="D616" s="4"/>
      <c r="E616" s="4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4"/>
      <c r="D617" s="4"/>
      <c r="E617" s="4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4"/>
      <c r="D618" s="4"/>
      <c r="E618" s="4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4"/>
      <c r="D619" s="4"/>
      <c r="E619" s="4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4"/>
      <c r="D620" s="4"/>
      <c r="E620" s="4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4"/>
      <c r="D621" s="4"/>
      <c r="E621" s="4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4"/>
      <c r="D622" s="4"/>
      <c r="E622" s="4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4"/>
      <c r="D623" s="4"/>
      <c r="E623" s="4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4"/>
      <c r="D624" s="4"/>
      <c r="E624" s="4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4"/>
      <c r="D625" s="4"/>
      <c r="E625" s="4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4"/>
      <c r="D626" s="4"/>
      <c r="E626" s="4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4"/>
      <c r="D627" s="4"/>
      <c r="E627" s="4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4"/>
      <c r="D628" s="4"/>
      <c r="E628" s="4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4"/>
      <c r="D629" s="4"/>
      <c r="E629" s="4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4"/>
      <c r="D630" s="4"/>
      <c r="E630" s="4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4"/>
      <c r="D631" s="4"/>
      <c r="E631" s="4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4"/>
      <c r="D632" s="4"/>
      <c r="E632" s="4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4"/>
      <c r="D633" s="4"/>
      <c r="E633" s="4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4"/>
      <c r="D634" s="4"/>
      <c r="E634" s="4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4"/>
      <c r="D635" s="4"/>
      <c r="E635" s="4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4"/>
      <c r="D636" s="4"/>
      <c r="E636" s="4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4"/>
      <c r="D637" s="4"/>
      <c r="E637" s="4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4"/>
      <c r="D638" s="4"/>
      <c r="E638" s="4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4"/>
      <c r="D639" s="4"/>
      <c r="E639" s="4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4"/>
      <c r="D640" s="4"/>
      <c r="E640" s="4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4"/>
      <c r="D641" s="4"/>
      <c r="E641" s="4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4"/>
      <c r="D642" s="4"/>
      <c r="E642" s="4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4"/>
      <c r="D643" s="4"/>
      <c r="E643" s="4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4"/>
      <c r="D644" s="4"/>
      <c r="E644" s="4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4"/>
      <c r="D645" s="4"/>
      <c r="E645" s="4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4"/>
      <c r="D646" s="4"/>
      <c r="E646" s="4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4"/>
      <c r="D647" s="4"/>
      <c r="E647" s="4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4"/>
      <c r="D648" s="4"/>
      <c r="E648" s="4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4"/>
      <c r="D649" s="4"/>
      <c r="E649" s="4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4"/>
      <c r="D650" s="4"/>
      <c r="E650" s="4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4"/>
      <c r="D651" s="4"/>
      <c r="E651" s="4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4"/>
      <c r="D652" s="4"/>
      <c r="E652" s="4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4"/>
      <c r="D653" s="4"/>
      <c r="E653" s="4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4"/>
      <c r="D654" s="4"/>
      <c r="E654" s="4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4"/>
      <c r="D655" s="4"/>
      <c r="E655" s="4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4"/>
      <c r="D656" s="4"/>
      <c r="E656" s="4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4"/>
      <c r="D657" s="4"/>
      <c r="E657" s="4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4"/>
      <c r="D658" s="4"/>
      <c r="E658" s="4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4"/>
      <c r="D659" s="4"/>
      <c r="E659" s="4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4"/>
      <c r="D660" s="4"/>
      <c r="E660" s="4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4"/>
      <c r="D661" s="4"/>
      <c r="E661" s="4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4"/>
      <c r="D662" s="4"/>
      <c r="E662" s="4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4"/>
      <c r="D663" s="4"/>
      <c r="E663" s="4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4"/>
      <c r="D664" s="4"/>
      <c r="E664" s="4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4"/>
      <c r="D665" s="4"/>
      <c r="E665" s="4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4"/>
      <c r="D666" s="4"/>
      <c r="E666" s="4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4"/>
      <c r="D667" s="4"/>
      <c r="E667" s="4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4"/>
      <c r="D668" s="4"/>
      <c r="E668" s="4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4"/>
      <c r="D669" s="4"/>
      <c r="E669" s="4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4"/>
      <c r="D670" s="4"/>
      <c r="E670" s="4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4"/>
      <c r="D671" s="4"/>
      <c r="E671" s="4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4"/>
      <c r="D672" s="4"/>
      <c r="E672" s="4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4"/>
      <c r="D673" s="4"/>
      <c r="E673" s="4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4"/>
      <c r="D674" s="4"/>
      <c r="E674" s="4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4"/>
      <c r="D675" s="4"/>
      <c r="E675" s="4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4"/>
      <c r="D676" s="4"/>
      <c r="E676" s="4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4"/>
      <c r="D677" s="4"/>
      <c r="E677" s="4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4"/>
      <c r="D678" s="4"/>
      <c r="E678" s="4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4"/>
      <c r="D679" s="4"/>
      <c r="E679" s="4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4"/>
      <c r="D680" s="4"/>
      <c r="E680" s="4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4"/>
      <c r="D681" s="4"/>
      <c r="E681" s="4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4"/>
      <c r="D682" s="4"/>
      <c r="E682" s="4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4"/>
      <c r="D683" s="4"/>
      <c r="E683" s="4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4"/>
      <c r="D684" s="4"/>
      <c r="E684" s="4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4"/>
      <c r="D685" s="4"/>
      <c r="E685" s="4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4"/>
      <c r="D686" s="4"/>
      <c r="E686" s="4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4"/>
      <c r="D687" s="4"/>
      <c r="E687" s="4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4"/>
      <c r="D688" s="4"/>
      <c r="E688" s="4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4"/>
      <c r="D689" s="4"/>
      <c r="E689" s="4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4"/>
      <c r="D690" s="4"/>
      <c r="E690" s="4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4"/>
      <c r="D691" s="4"/>
      <c r="E691" s="4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4"/>
      <c r="D692" s="4"/>
      <c r="E692" s="4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4"/>
      <c r="D693" s="4"/>
      <c r="E693" s="4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4"/>
      <c r="D694" s="4"/>
      <c r="E694" s="4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4"/>
      <c r="D695" s="4"/>
      <c r="E695" s="4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4"/>
      <c r="D696" s="4"/>
      <c r="E696" s="4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4"/>
      <c r="D697" s="4"/>
      <c r="E697" s="4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4"/>
      <c r="D698" s="4"/>
      <c r="E698" s="4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4"/>
      <c r="D699" s="4"/>
      <c r="E699" s="4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4"/>
      <c r="D700" s="4"/>
      <c r="E700" s="4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4"/>
      <c r="D701" s="4"/>
      <c r="E701" s="4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4"/>
      <c r="D702" s="4"/>
      <c r="E702" s="4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4"/>
      <c r="D703" s="4"/>
      <c r="E703" s="4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4"/>
      <c r="D704" s="4"/>
      <c r="E704" s="4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4"/>
      <c r="D705" s="4"/>
      <c r="E705" s="4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4"/>
      <c r="D706" s="4"/>
      <c r="E706" s="4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4"/>
      <c r="D707" s="4"/>
      <c r="E707" s="4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4"/>
      <c r="D708" s="4"/>
      <c r="E708" s="4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4"/>
      <c r="D709" s="4"/>
      <c r="E709" s="4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4"/>
      <c r="D710" s="4"/>
      <c r="E710" s="4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4"/>
      <c r="D711" s="4"/>
      <c r="E711" s="4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4"/>
      <c r="D712" s="4"/>
      <c r="E712" s="4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4"/>
      <c r="D713" s="4"/>
      <c r="E713" s="4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4"/>
      <c r="D714" s="4"/>
      <c r="E714" s="4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4"/>
      <c r="D715" s="4"/>
      <c r="E715" s="4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4"/>
      <c r="D716" s="4"/>
      <c r="E716" s="4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4"/>
      <c r="D717" s="4"/>
      <c r="E717" s="4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4"/>
      <c r="D718" s="4"/>
      <c r="E718" s="4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4"/>
      <c r="D719" s="4"/>
      <c r="E719" s="4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4"/>
      <c r="D720" s="4"/>
      <c r="E720" s="4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4"/>
      <c r="D721" s="4"/>
      <c r="E721" s="4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4"/>
      <c r="D722" s="4"/>
      <c r="E722" s="4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4"/>
      <c r="D723" s="4"/>
      <c r="E723" s="4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4"/>
      <c r="D724" s="4"/>
      <c r="E724" s="4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4"/>
      <c r="D725" s="4"/>
      <c r="E725" s="4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4"/>
      <c r="D726" s="4"/>
      <c r="E726" s="4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4"/>
      <c r="D727" s="4"/>
      <c r="E727" s="4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4"/>
      <c r="D728" s="4"/>
      <c r="E728" s="4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4"/>
      <c r="D729" s="4"/>
      <c r="E729" s="4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4"/>
      <c r="D730" s="4"/>
      <c r="E730" s="4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4"/>
      <c r="D731" s="4"/>
      <c r="E731" s="4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4"/>
      <c r="D732" s="4"/>
      <c r="E732" s="4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4"/>
      <c r="D733" s="4"/>
      <c r="E733" s="4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4"/>
      <c r="D734" s="4"/>
      <c r="E734" s="4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4"/>
      <c r="D735" s="4"/>
      <c r="E735" s="4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4"/>
      <c r="D736" s="4"/>
      <c r="E736" s="4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4"/>
      <c r="D737" s="4"/>
      <c r="E737" s="4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4"/>
      <c r="D738" s="4"/>
      <c r="E738" s="4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4"/>
      <c r="D739" s="4"/>
      <c r="E739" s="4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4"/>
      <c r="D740" s="4"/>
      <c r="E740" s="4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4"/>
      <c r="D741" s="4"/>
      <c r="E741" s="4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4"/>
      <c r="D742" s="4"/>
      <c r="E742" s="4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4"/>
      <c r="D743" s="4"/>
      <c r="E743" s="4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4"/>
      <c r="D744" s="4"/>
      <c r="E744" s="4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4"/>
      <c r="D745" s="4"/>
      <c r="E745" s="4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4"/>
      <c r="D746" s="4"/>
      <c r="E746" s="4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4"/>
      <c r="D747" s="4"/>
      <c r="E747" s="4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4"/>
      <c r="D748" s="4"/>
      <c r="E748" s="4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4"/>
      <c r="D749" s="4"/>
      <c r="E749" s="4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4"/>
      <c r="D750" s="4"/>
      <c r="E750" s="4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4"/>
      <c r="D751" s="4"/>
      <c r="E751" s="4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4"/>
      <c r="D752" s="4"/>
      <c r="E752" s="4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4"/>
      <c r="D753" s="4"/>
      <c r="E753" s="4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4"/>
      <c r="D754" s="4"/>
      <c r="E754" s="4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4"/>
      <c r="D755" s="4"/>
      <c r="E755" s="4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4"/>
      <c r="D756" s="4"/>
      <c r="E756" s="4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4"/>
      <c r="D757" s="4"/>
      <c r="E757" s="4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4"/>
      <c r="D758" s="4"/>
      <c r="E758" s="4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4"/>
      <c r="D759" s="4"/>
      <c r="E759" s="4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4"/>
      <c r="D760" s="4"/>
      <c r="E760" s="4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4"/>
      <c r="D761" s="4"/>
      <c r="E761" s="4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4"/>
      <c r="D762" s="4"/>
      <c r="E762" s="4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4"/>
      <c r="D763" s="4"/>
      <c r="E763" s="4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4"/>
      <c r="D764" s="4"/>
      <c r="E764" s="4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4"/>
      <c r="D765" s="4"/>
      <c r="E765" s="4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4"/>
      <c r="D766" s="4"/>
      <c r="E766" s="4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4"/>
      <c r="D767" s="4"/>
      <c r="E767" s="4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4"/>
      <c r="D768" s="4"/>
      <c r="E768" s="4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4"/>
      <c r="D769" s="4"/>
      <c r="E769" s="4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4"/>
      <c r="D770" s="4"/>
      <c r="E770" s="4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4"/>
      <c r="D771" s="4"/>
      <c r="E771" s="4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4"/>
      <c r="D772" s="4"/>
      <c r="E772" s="4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4"/>
      <c r="D773" s="4"/>
      <c r="E773" s="4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4"/>
      <c r="D774" s="4"/>
      <c r="E774" s="4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4"/>
      <c r="D775" s="4"/>
      <c r="E775" s="4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4"/>
      <c r="D776" s="4"/>
      <c r="E776" s="4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4"/>
      <c r="D777" s="4"/>
      <c r="E777" s="4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4"/>
      <c r="D778" s="4"/>
      <c r="E778" s="4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4"/>
      <c r="D779" s="4"/>
      <c r="E779" s="4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4"/>
      <c r="D780" s="4"/>
      <c r="E780" s="4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4"/>
      <c r="D781" s="4"/>
      <c r="E781" s="4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4"/>
      <c r="D782" s="4"/>
      <c r="E782" s="4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4"/>
      <c r="D783" s="4"/>
      <c r="E783" s="4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4"/>
      <c r="D784" s="4"/>
      <c r="E784" s="4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4"/>
      <c r="D785" s="4"/>
      <c r="E785" s="4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4"/>
      <c r="D786" s="4"/>
      <c r="E786" s="4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4"/>
      <c r="D787" s="4"/>
      <c r="E787" s="4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4"/>
      <c r="D788" s="4"/>
      <c r="E788" s="4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4"/>
      <c r="D789" s="4"/>
      <c r="E789" s="4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4"/>
      <c r="D790" s="4"/>
      <c r="E790" s="4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4"/>
      <c r="D791" s="4"/>
      <c r="E791" s="4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4"/>
      <c r="D792" s="4"/>
      <c r="E792" s="4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4"/>
      <c r="D793" s="4"/>
      <c r="E793" s="4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4"/>
      <c r="D794" s="4"/>
      <c r="E794" s="4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4"/>
      <c r="D795" s="4"/>
      <c r="E795" s="4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4"/>
      <c r="D796" s="4"/>
      <c r="E796" s="4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4"/>
      <c r="D797" s="4"/>
      <c r="E797" s="4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4"/>
      <c r="D798" s="4"/>
      <c r="E798" s="4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4"/>
      <c r="D799" s="4"/>
      <c r="E799" s="4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4"/>
      <c r="D800" s="4"/>
      <c r="E800" s="4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4"/>
      <c r="D801" s="4"/>
      <c r="E801" s="4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4"/>
      <c r="D802" s="4"/>
      <c r="E802" s="4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4"/>
      <c r="D803" s="4"/>
      <c r="E803" s="4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4"/>
      <c r="D804" s="4"/>
      <c r="E804" s="4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4"/>
      <c r="D805" s="4"/>
      <c r="E805" s="4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4"/>
      <c r="D806" s="4"/>
      <c r="E806" s="4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4"/>
      <c r="D807" s="4"/>
      <c r="E807" s="4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4"/>
      <c r="D808" s="4"/>
      <c r="E808" s="4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4"/>
      <c r="D809" s="4"/>
      <c r="E809" s="4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4"/>
      <c r="D810" s="4"/>
      <c r="E810" s="4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4"/>
      <c r="D811" s="4"/>
      <c r="E811" s="4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4"/>
      <c r="D812" s="4"/>
      <c r="E812" s="4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4"/>
      <c r="D813" s="4"/>
      <c r="E813" s="4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4"/>
      <c r="D814" s="4"/>
      <c r="E814" s="4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4"/>
      <c r="D815" s="4"/>
      <c r="E815" s="4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4"/>
      <c r="D816" s="4"/>
      <c r="E816" s="4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4"/>
      <c r="D817" s="4"/>
      <c r="E817" s="4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4"/>
      <c r="D818" s="4"/>
      <c r="E818" s="4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4"/>
      <c r="D819" s="4"/>
      <c r="E819" s="4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4"/>
      <c r="D820" s="4"/>
      <c r="E820" s="4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4"/>
      <c r="D821" s="4"/>
      <c r="E821" s="4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4"/>
      <c r="D822" s="4"/>
      <c r="E822" s="4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4"/>
      <c r="D823" s="4"/>
      <c r="E823" s="4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4"/>
      <c r="D824" s="4"/>
      <c r="E824" s="4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4"/>
      <c r="D825" s="4"/>
      <c r="E825" s="4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4"/>
      <c r="D826" s="4"/>
      <c r="E826" s="4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4"/>
      <c r="D827" s="4"/>
      <c r="E827" s="4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4"/>
      <c r="D828" s="4"/>
      <c r="E828" s="4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4"/>
      <c r="D829" s="4"/>
      <c r="E829" s="4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4"/>
      <c r="D830" s="4"/>
      <c r="E830" s="4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4"/>
      <c r="D831" s="4"/>
      <c r="E831" s="4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4"/>
      <c r="D832" s="4"/>
      <c r="E832" s="4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4"/>
      <c r="D833" s="4"/>
      <c r="E833" s="4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4"/>
      <c r="D834" s="4"/>
      <c r="E834" s="4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4"/>
      <c r="D835" s="4"/>
      <c r="E835" s="4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4"/>
      <c r="D836" s="4"/>
      <c r="E836" s="4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4"/>
      <c r="D837" s="4"/>
      <c r="E837" s="4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4"/>
      <c r="D838" s="4"/>
      <c r="E838" s="4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4"/>
      <c r="D839" s="4"/>
      <c r="E839" s="4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4"/>
      <c r="D840" s="4"/>
      <c r="E840" s="4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4"/>
      <c r="D841" s="4"/>
      <c r="E841" s="4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4"/>
      <c r="D842" s="4"/>
      <c r="E842" s="4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4"/>
      <c r="D843" s="4"/>
      <c r="E843" s="4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4"/>
      <c r="D844" s="4"/>
      <c r="E844" s="4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4"/>
      <c r="D845" s="4"/>
      <c r="E845" s="4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4"/>
      <c r="D846" s="4"/>
      <c r="E846" s="4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4"/>
      <c r="D847" s="4"/>
      <c r="E847" s="4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4"/>
      <c r="D848" s="4"/>
      <c r="E848" s="4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4"/>
      <c r="D849" s="4"/>
      <c r="E849" s="4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4"/>
      <c r="D850" s="4"/>
      <c r="E850" s="4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4"/>
      <c r="D851" s="4"/>
      <c r="E851" s="4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4"/>
      <c r="D852" s="4"/>
      <c r="E852" s="4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4"/>
      <c r="D853" s="4"/>
      <c r="E853" s="4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4"/>
      <c r="D854" s="4"/>
      <c r="E854" s="4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4"/>
      <c r="D855" s="4"/>
      <c r="E855" s="4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4"/>
      <c r="D856" s="4"/>
      <c r="E856" s="4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4"/>
      <c r="D857" s="4"/>
      <c r="E857" s="4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4"/>
      <c r="D858" s="4"/>
      <c r="E858" s="4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4"/>
      <c r="D859" s="4"/>
      <c r="E859" s="4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4"/>
      <c r="D860" s="4"/>
      <c r="E860" s="4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4"/>
      <c r="D861" s="4"/>
      <c r="E861" s="4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4"/>
      <c r="D862" s="4"/>
      <c r="E862" s="4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4"/>
      <c r="D863" s="4"/>
      <c r="E863" s="4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4"/>
      <c r="D864" s="4"/>
      <c r="E864" s="4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4"/>
      <c r="D865" s="4"/>
      <c r="E865" s="4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4"/>
      <c r="D866" s="4"/>
      <c r="E866" s="4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4"/>
      <c r="D867" s="4"/>
      <c r="E867" s="4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4"/>
      <c r="D868" s="4"/>
      <c r="E868" s="4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4"/>
      <c r="D869" s="4"/>
      <c r="E869" s="4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4"/>
      <c r="D870" s="4"/>
      <c r="E870" s="4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4"/>
      <c r="D871" s="4"/>
      <c r="E871" s="4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4"/>
      <c r="D872" s="4"/>
      <c r="E872" s="4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4"/>
      <c r="D873" s="4"/>
      <c r="E873" s="4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4"/>
      <c r="D874" s="4"/>
      <c r="E874" s="4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4"/>
      <c r="D875" s="4"/>
      <c r="E875" s="4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4"/>
      <c r="D876" s="4"/>
      <c r="E876" s="4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4"/>
      <c r="D877" s="4"/>
      <c r="E877" s="4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4"/>
      <c r="D878" s="4"/>
      <c r="E878" s="4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4"/>
      <c r="D879" s="4"/>
      <c r="E879" s="4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4"/>
      <c r="D880" s="4"/>
      <c r="E880" s="4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4"/>
      <c r="D881" s="4"/>
      <c r="E881" s="4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4"/>
      <c r="D882" s="4"/>
      <c r="E882" s="4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4"/>
      <c r="D883" s="4"/>
      <c r="E883" s="4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4"/>
      <c r="D884" s="4"/>
      <c r="E884" s="4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4"/>
      <c r="D885" s="4"/>
      <c r="E885" s="4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4"/>
      <c r="D886" s="4"/>
      <c r="E886" s="4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4"/>
      <c r="D887" s="4"/>
      <c r="E887" s="4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4"/>
      <c r="D888" s="4"/>
      <c r="E888" s="4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4"/>
      <c r="D889" s="4"/>
      <c r="E889" s="4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4"/>
      <c r="D890" s="4"/>
      <c r="E890" s="4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4"/>
      <c r="D891" s="4"/>
      <c r="E891" s="4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4"/>
      <c r="D892" s="4"/>
      <c r="E892" s="4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4"/>
      <c r="D893" s="4"/>
      <c r="E893" s="4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4"/>
      <c r="D894" s="4"/>
      <c r="E894" s="4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4"/>
      <c r="D895" s="4"/>
      <c r="E895" s="4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4"/>
      <c r="D896" s="4"/>
      <c r="E896" s="4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4"/>
      <c r="D897" s="4"/>
      <c r="E897" s="4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4"/>
      <c r="D898" s="4"/>
      <c r="E898" s="4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4"/>
      <c r="D899" s="4"/>
      <c r="E899" s="4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4"/>
      <c r="D900" s="4"/>
      <c r="E900" s="4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4"/>
      <c r="D901" s="4"/>
      <c r="E901" s="4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4"/>
      <c r="D902" s="4"/>
      <c r="E902" s="4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4"/>
      <c r="D903" s="4"/>
      <c r="E903" s="4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4"/>
      <c r="D904" s="4"/>
      <c r="E904" s="4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4"/>
      <c r="D905" s="4"/>
      <c r="E905" s="4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4"/>
      <c r="D906" s="4"/>
      <c r="E906" s="4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4"/>
      <c r="D907" s="4"/>
      <c r="E907" s="4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4"/>
      <c r="D908" s="4"/>
      <c r="E908" s="4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4"/>
      <c r="D909" s="4"/>
      <c r="E909" s="4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4"/>
      <c r="D910" s="4"/>
      <c r="E910" s="4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4"/>
      <c r="D911" s="4"/>
      <c r="E911" s="4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4"/>
      <c r="D912" s="4"/>
      <c r="E912" s="4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4"/>
      <c r="D913" s="4"/>
      <c r="E913" s="4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4"/>
      <c r="D914" s="4"/>
      <c r="E914" s="4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4"/>
      <c r="D915" s="4"/>
      <c r="E915" s="4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4"/>
      <c r="D916" s="4"/>
      <c r="E916" s="4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4"/>
      <c r="D917" s="4"/>
      <c r="E917" s="4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4"/>
      <c r="D918" s="4"/>
      <c r="E918" s="4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4"/>
      <c r="D919" s="4"/>
      <c r="E919" s="4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4"/>
      <c r="D920" s="4"/>
      <c r="E920" s="4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4"/>
      <c r="D921" s="4"/>
      <c r="E921" s="4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4"/>
      <c r="D922" s="4"/>
      <c r="E922" s="4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4"/>
      <c r="D923" s="4"/>
      <c r="E923" s="4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4"/>
      <c r="D924" s="4"/>
      <c r="E924" s="4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4"/>
      <c r="D925" s="4"/>
      <c r="E925" s="4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4"/>
      <c r="D926" s="4"/>
      <c r="E926" s="4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4"/>
      <c r="D927" s="4"/>
      <c r="E927" s="4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4"/>
      <c r="D928" s="4"/>
      <c r="E928" s="4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4"/>
      <c r="D929" s="4"/>
      <c r="E929" s="4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4"/>
      <c r="D930" s="4"/>
      <c r="E930" s="4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4"/>
      <c r="D931" s="4"/>
      <c r="E931" s="4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4"/>
      <c r="D932" s="4"/>
      <c r="E932" s="4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4"/>
      <c r="D933" s="4"/>
      <c r="E933" s="4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4"/>
      <c r="D934" s="4"/>
      <c r="E934" s="4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4"/>
      <c r="D935" s="4"/>
      <c r="E935" s="4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4"/>
      <c r="D936" s="4"/>
      <c r="E936" s="4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4"/>
      <c r="D937" s="4"/>
      <c r="E937" s="4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4"/>
      <c r="D938" s="4"/>
      <c r="E938" s="4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4"/>
      <c r="D939" s="4"/>
      <c r="E939" s="4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4"/>
      <c r="D940" s="4"/>
      <c r="E940" s="4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4"/>
      <c r="D941" s="4"/>
      <c r="E941" s="4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4"/>
      <c r="D942" s="4"/>
      <c r="E942" s="4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4"/>
      <c r="D943" s="4"/>
      <c r="E943" s="4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4"/>
      <c r="D944" s="4"/>
      <c r="E944" s="4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4"/>
      <c r="D945" s="4"/>
      <c r="E945" s="4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4"/>
      <c r="D946" s="4"/>
      <c r="E946" s="4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4"/>
      <c r="D947" s="4"/>
      <c r="E947" s="4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4"/>
      <c r="D948" s="4"/>
      <c r="E948" s="4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4"/>
      <c r="D949" s="4"/>
      <c r="E949" s="4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4"/>
      <c r="D950" s="4"/>
      <c r="E950" s="4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4"/>
      <c r="D951" s="4"/>
      <c r="E951" s="4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4"/>
      <c r="D952" s="4"/>
      <c r="E952" s="4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4"/>
      <c r="D953" s="4"/>
      <c r="E953" s="4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4"/>
      <c r="D954" s="4"/>
      <c r="E954" s="4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4"/>
      <c r="D955" s="4"/>
      <c r="E955" s="4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4"/>
      <c r="D956" s="4"/>
      <c r="E956" s="4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4"/>
      <c r="D957" s="4"/>
      <c r="E957" s="4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4"/>
      <c r="D958" s="4"/>
      <c r="E958" s="4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4"/>
      <c r="D959" s="4"/>
      <c r="E959" s="4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4"/>
      <c r="D960" s="4"/>
      <c r="E960" s="4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4"/>
      <c r="D961" s="4"/>
      <c r="E961" s="4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4"/>
      <c r="D962" s="4"/>
      <c r="E962" s="4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4"/>
      <c r="D963" s="4"/>
      <c r="E963" s="4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4"/>
      <c r="D964" s="4"/>
      <c r="E964" s="4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4"/>
      <c r="D965" s="4"/>
      <c r="E965" s="4"/>
      <c r="F965" s="4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4"/>
      <c r="D966" s="4"/>
      <c r="E966" s="4"/>
      <c r="F966" s="4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4"/>
      <c r="D967" s="4"/>
      <c r="E967" s="4"/>
      <c r="F967" s="4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4"/>
      <c r="D968" s="4"/>
      <c r="E968" s="4"/>
      <c r="F968" s="4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4"/>
      <c r="D969" s="4"/>
      <c r="E969" s="4"/>
      <c r="F969" s="4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4"/>
      <c r="D970" s="4"/>
      <c r="E970" s="4"/>
      <c r="F970" s="4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4"/>
      <c r="D971" s="4"/>
      <c r="E971" s="4"/>
      <c r="F971" s="4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4"/>
      <c r="D972" s="4"/>
      <c r="E972" s="4"/>
      <c r="F972" s="4"/>
      <c r="G972" s="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4"/>
      <c r="D973" s="4"/>
      <c r="E973" s="4"/>
      <c r="F973" s="4"/>
      <c r="G973" s="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4"/>
      <c r="D974" s="4"/>
      <c r="E974" s="4"/>
      <c r="F974" s="4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4"/>
      <c r="D975" s="4"/>
      <c r="E975" s="4"/>
      <c r="F975" s="4"/>
      <c r="G975" s="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4"/>
      <c r="D976" s="4"/>
      <c r="E976" s="4"/>
      <c r="F976" s="4"/>
      <c r="G976" s="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4"/>
      <c r="D977" s="4"/>
      <c r="E977" s="4"/>
      <c r="F977" s="4"/>
      <c r="G977" s="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4"/>
      <c r="D978" s="4"/>
      <c r="E978" s="4"/>
      <c r="F978" s="4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4"/>
      <c r="D979" s="4"/>
      <c r="E979" s="4"/>
      <c r="F979" s="4"/>
      <c r="G979" s="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4"/>
      <c r="D980" s="4"/>
      <c r="E980" s="4"/>
      <c r="F980" s="4"/>
      <c r="G980" s="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4"/>
      <c r="D981" s="4"/>
      <c r="E981" s="4"/>
      <c r="F981" s="4"/>
      <c r="G981" s="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4"/>
      <c r="D982" s="4"/>
      <c r="E982" s="4"/>
      <c r="F982" s="4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4"/>
      <c r="D983" s="4"/>
      <c r="E983" s="4"/>
      <c r="F983" s="4"/>
      <c r="G983" s="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4"/>
      <c r="D984" s="4"/>
      <c r="E984" s="4"/>
      <c r="F984" s="4"/>
      <c r="G984" s="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4"/>
      <c r="D985" s="4"/>
      <c r="E985" s="4"/>
      <c r="F985" s="4"/>
      <c r="G985" s="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4"/>
      <c r="D986" s="4"/>
      <c r="E986" s="4"/>
      <c r="F986" s="4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4"/>
      <c r="D987" s="4"/>
      <c r="E987" s="4"/>
      <c r="F987" s="4"/>
      <c r="G987" s="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4"/>
      <c r="D988" s="4"/>
      <c r="E988" s="4"/>
      <c r="F988" s="4"/>
      <c r="G988" s="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4"/>
      <c r="D989" s="4"/>
      <c r="E989" s="4"/>
      <c r="F989" s="4"/>
      <c r="G989" s="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4"/>
      <c r="D990" s="4"/>
      <c r="E990" s="4"/>
      <c r="F990" s="4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4"/>
      <c r="D991" s="4"/>
      <c r="E991" s="4"/>
      <c r="F991" s="4"/>
      <c r="G991" s="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4"/>
      <c r="D992" s="4"/>
      <c r="E992" s="4"/>
      <c r="F992" s="4"/>
      <c r="G992" s="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4"/>
      <c r="D993" s="4"/>
      <c r="E993" s="4"/>
      <c r="F993" s="4"/>
      <c r="G993" s="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4"/>
      <c r="D994" s="4"/>
      <c r="E994" s="4"/>
      <c r="F994" s="4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4"/>
      <c r="D995" s="4"/>
      <c r="E995" s="4"/>
      <c r="F995" s="4"/>
      <c r="G995" s="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4"/>
      <c r="D996" s="4"/>
      <c r="E996" s="4"/>
      <c r="F996" s="4"/>
      <c r="G996" s="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4"/>
      <c r="D997" s="4"/>
      <c r="E997" s="4"/>
      <c r="F997" s="4"/>
      <c r="G997" s="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4"/>
      <c r="D998" s="4"/>
      <c r="E998" s="4"/>
      <c r="F998" s="4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4"/>
      <c r="D999" s="4"/>
      <c r="E999" s="4"/>
      <c r="F999" s="4"/>
      <c r="G999" s="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4"/>
      <c r="D1000" s="4"/>
      <c r="E1000" s="4"/>
      <c r="F1000" s="4"/>
      <c r="G1000" s="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C1:E1"/>
    <mergeCell ref="C2:E2"/>
    <mergeCell ref="C3:E3"/>
    <mergeCell ref="B5:E5"/>
    <mergeCell ref="B45:E45"/>
  </mergeCells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0.86"/>
    <col customWidth="1" min="3" max="3" width="15.86"/>
    <col customWidth="1" min="4" max="5" width="17.14"/>
    <col customWidth="1" min="6" max="6" width="13.43"/>
    <col customWidth="1" min="7" max="7" width="14.0"/>
    <col customWidth="1" min="8" max="8" width="13.43"/>
    <col customWidth="1" min="9" max="9" width="14.71"/>
    <col customWidth="1" min="10" max="26" width="8.71"/>
  </cols>
  <sheetData>
    <row r="1">
      <c r="A1" s="1"/>
      <c r="B1" s="2"/>
      <c r="C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4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5" t="s">
        <v>36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1</v>
      </c>
      <c r="C7" s="27" t="s">
        <v>37</v>
      </c>
      <c r="D7" s="7">
        <v>2023.0</v>
      </c>
      <c r="E7" s="7">
        <v>2024.0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9" t="s">
        <v>38</v>
      </c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 t="s">
        <v>39</v>
      </c>
      <c r="C11" s="4">
        <v>3.5448E8</v>
      </c>
      <c r="D11" s="4">
        <f>+C11</f>
        <v>354480000</v>
      </c>
      <c r="E11" s="4">
        <v>3.5448E8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 t="s">
        <v>40</v>
      </c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 t="s">
        <v>41</v>
      </c>
      <c r="C13" s="4">
        <v>2575000.0</v>
      </c>
      <c r="D13" s="4">
        <v>2575000.0</v>
      </c>
      <c r="E13" s="4">
        <v>2575000.0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 t="s">
        <v>42</v>
      </c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43</v>
      </c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44</v>
      </c>
      <c r="C16" s="4">
        <v>-1.5434408848E8</v>
      </c>
      <c r="D16" s="4">
        <v>-1.82468393E8</v>
      </c>
      <c r="E16" s="4">
        <v>-1.3694289719E8</v>
      </c>
      <c r="F16" s="2"/>
      <c r="G16" s="2"/>
      <c r="H16" s="21"/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45</v>
      </c>
      <c r="C17" s="4">
        <v>-4.3876674721E8</v>
      </c>
      <c r="D17" s="4">
        <v>-5.16905803E8</v>
      </c>
      <c r="E17" s="4">
        <v>-7.6049314867E8</v>
      </c>
      <c r="F17" s="2"/>
      <c r="G17" s="2"/>
      <c r="H17" s="21"/>
      <c r="I17" s="2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8" t="s">
        <v>46</v>
      </c>
      <c r="C18" s="4"/>
      <c r="D18" s="4"/>
      <c r="E18" s="4">
        <f>SUM(E16:E17)</f>
        <v>-897436045.9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8" t="s">
        <v>47</v>
      </c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48</v>
      </c>
      <c r="C20" s="11">
        <f t="shared" ref="C20:E20" si="1">SUM(C11:C17)</f>
        <v>-236055835.7</v>
      </c>
      <c r="D20" s="11">
        <f t="shared" si="1"/>
        <v>-342319196</v>
      </c>
      <c r="E20" s="11">
        <f t="shared" si="1"/>
        <v>-540381045.9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9" t="s">
        <v>49</v>
      </c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 t="s">
        <v>50</v>
      </c>
      <c r="C22" s="4">
        <v>9684114.82</v>
      </c>
      <c r="D22" s="4">
        <v>1.390781954E9</v>
      </c>
      <c r="E22" s="4">
        <v>1.671801967E9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8" t="s">
        <v>51</v>
      </c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 t="s">
        <v>52</v>
      </c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 t="s">
        <v>53</v>
      </c>
      <c r="C25" s="4">
        <v>4.048656125E7</v>
      </c>
      <c r="D25" s="4">
        <v>4.9501497E7</v>
      </c>
      <c r="E25" s="4">
        <v>3.4697631E7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9" t="s">
        <v>48</v>
      </c>
      <c r="C26" s="11">
        <f t="shared" ref="C26:E26" si="2">SUM(C22:C25)</f>
        <v>50170676.07</v>
      </c>
      <c r="D26" s="11">
        <f t="shared" si="2"/>
        <v>1440283451</v>
      </c>
      <c r="E26" s="11">
        <f t="shared" si="2"/>
        <v>1706499598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9" t="s">
        <v>60</v>
      </c>
      <c r="C27" s="4"/>
      <c r="D27" s="4"/>
      <c r="E27" s="4"/>
      <c r="F27" s="2"/>
      <c r="G27" s="2" t="s">
        <v>61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 t="s">
        <v>55</v>
      </c>
      <c r="C28" s="4">
        <v>1.5960828461E8</v>
      </c>
      <c r="D28" s="4">
        <v>1.78648965E8</v>
      </c>
      <c r="E28" s="4">
        <v>1.99698588E8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 t="s">
        <v>56</v>
      </c>
      <c r="C29" s="4">
        <v>1.204238274E7</v>
      </c>
      <c r="D29" s="4">
        <v>1.563194E7</v>
      </c>
      <c r="E29" s="4">
        <v>1.6846652E7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 t="s">
        <v>57</v>
      </c>
      <c r="C30" s="4">
        <v>6.489704623E8</v>
      </c>
      <c r="D30" s="4">
        <v>4.45416701E8</v>
      </c>
      <c r="E30" s="4">
        <v>4.21858856E8</v>
      </c>
      <c r="F30" s="2"/>
      <c r="G30" s="21">
        <f>E28+E29+E30</f>
        <v>638404096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 t="s">
        <v>58</v>
      </c>
      <c r="C31" s="4"/>
      <c r="D31" s="4">
        <v>1.1852245E7</v>
      </c>
      <c r="E31" s="4">
        <v>1.28124235E8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0" t="s">
        <v>48</v>
      </c>
      <c r="C32" s="11">
        <f t="shared" ref="C32:E32" si="3">SUM(C28:C31)</f>
        <v>820621129.7</v>
      </c>
      <c r="D32" s="11">
        <f t="shared" si="3"/>
        <v>651549851</v>
      </c>
      <c r="E32" s="11">
        <f t="shared" si="3"/>
        <v>766528331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1" t="s">
        <v>59</v>
      </c>
      <c r="C33" s="14">
        <v>6.3473597003E8</v>
      </c>
      <c r="D33" s="14">
        <f>+D32+D26+D20</f>
        <v>1749514106</v>
      </c>
      <c r="E33" s="14">
        <f>+E32+E20+E26</f>
        <v>1932646883</v>
      </c>
      <c r="F33" s="2"/>
      <c r="G33" s="21">
        <f>+E32+E26+E20</f>
        <v>1932646883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4"/>
      <c r="D34" s="4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4"/>
      <c r="D35" s="4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4"/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32" t="s">
        <v>62</v>
      </c>
      <c r="D37" s="33">
        <v>-1.82468393E8</v>
      </c>
      <c r="E37" s="32" t="s">
        <v>63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32" t="s">
        <v>64</v>
      </c>
      <c r="D38" s="33">
        <v>-5.16905803E8</v>
      </c>
      <c r="E38" s="32" t="s">
        <v>65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4"/>
      <c r="D39" s="4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4"/>
      <c r="D40" s="4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4"/>
      <c r="D41" s="4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4"/>
      <c r="D42" s="4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4"/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4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4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4"/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4"/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4"/>
      <c r="D48" s="34" t="s">
        <v>66</v>
      </c>
      <c r="E48" s="4">
        <v>-4.3876674721E8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4"/>
      <c r="D49" s="34" t="s">
        <v>67</v>
      </c>
      <c r="E49" s="4">
        <v>-1.5434408848E8</v>
      </c>
      <c r="F49" s="21">
        <f>+E48+E49</f>
        <v>-593110835.7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4"/>
      <c r="D50" s="34" t="s">
        <v>68</v>
      </c>
      <c r="E50" s="4">
        <v>-1.82468393E8</v>
      </c>
      <c r="F50" s="21">
        <f t="shared" ref="F50:F51" si="4">+F49+E50</f>
        <v>-775579228.7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4"/>
      <c r="D51" s="34" t="s">
        <v>69</v>
      </c>
      <c r="E51" s="4">
        <v>-1.3694289719E8</v>
      </c>
      <c r="F51" s="21">
        <f t="shared" si="4"/>
        <v>-912522125.9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4"/>
      <c r="D52" s="4"/>
      <c r="E52" s="4">
        <f>SUM(E48:E51)</f>
        <v>-912522125.9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4"/>
      <c r="D53" s="4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4"/>
      <c r="D54" s="4"/>
      <c r="E54" s="21">
        <v>-7.6049314867E8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4"/>
      <c r="D55" s="4"/>
      <c r="E55" s="4">
        <f>+F50-E54</f>
        <v>-15086080.02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4"/>
      <c r="D56" s="4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4"/>
      <c r="D57" s="4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4"/>
      <c r="D58" s="4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4"/>
      <c r="D59" s="4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4"/>
      <c r="D60" s="4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4"/>
      <c r="D61" s="4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4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4"/>
      <c r="D63" s="4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4"/>
      <c r="D64" s="4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4"/>
      <c r="D65" s="4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4"/>
      <c r="D66" s="4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4"/>
      <c r="D67" s="4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4"/>
      <c r="D68" s="4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4"/>
      <c r="D69" s="4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4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4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4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4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4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4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4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4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4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4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4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4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4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4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4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4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4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4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4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4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4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4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4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4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4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4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4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4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4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4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4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4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4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4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4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4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4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4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4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4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4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4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4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4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4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4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4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4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4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4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4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4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4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4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4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4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4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4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4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4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4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4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4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4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4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4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4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4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4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4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4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4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4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4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4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4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4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4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4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4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4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4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4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4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4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4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4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4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4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4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4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4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4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4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4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4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4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4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4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4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4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4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4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4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4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4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4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4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4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4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4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4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4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4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4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4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4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4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4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4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4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4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4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4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4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4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4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4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4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4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4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4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4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4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4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4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4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4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4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4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4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4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4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4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4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4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4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4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4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4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4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4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4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4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4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4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4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4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4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4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4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4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4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4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4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4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4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4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4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4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4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4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4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4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4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4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4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4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4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4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4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4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4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4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4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4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4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4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4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4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4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4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4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4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4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4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4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4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4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4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4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4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4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4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4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4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4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4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4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4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4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4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4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4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4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4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4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4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4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4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4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4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4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4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4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4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4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4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4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4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4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4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4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4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4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4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4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4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4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4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4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4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4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4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4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4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4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4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4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4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4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4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4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4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4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4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4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4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4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4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4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4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4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4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4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4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4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4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4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4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4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4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4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4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4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4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4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4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4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4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4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4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4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4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4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4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4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4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4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4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4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4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4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4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4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4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4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4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4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4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4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4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4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4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4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4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4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4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4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4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4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4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4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4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4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4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4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4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4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4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4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4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4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4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4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4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4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4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4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4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4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4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4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4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4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4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4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4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4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4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4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4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4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4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4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4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4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4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4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4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4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4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4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4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4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4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4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4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4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4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4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4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4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4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4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4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4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4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4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4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4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4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4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4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4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4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4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4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4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4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4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4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4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4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4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4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4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4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4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4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4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4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4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4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4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4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4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4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4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4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4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4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4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4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4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4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4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4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4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4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4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4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4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4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4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4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4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4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4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4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4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4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4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4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4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4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4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4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4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4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4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4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4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4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4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4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4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4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4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4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4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4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4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4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4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4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4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4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4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4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4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4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4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4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4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4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4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4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4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4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4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4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4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4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4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4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4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4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4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4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4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4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4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4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4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4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4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4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4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4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4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4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4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4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4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4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4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4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4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4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4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4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4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4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4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4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4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4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4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4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4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4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4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4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4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4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4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4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4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4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4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4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4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4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4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4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4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4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4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4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4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4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4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4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4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4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4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4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4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4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4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4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4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4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4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4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4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4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4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4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4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4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4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4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4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4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4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4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4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4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4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4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4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4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4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4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4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4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4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4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4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4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4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4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4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4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4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4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4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4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4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4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4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4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4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4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4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4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4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4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4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4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4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4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4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4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4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4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4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4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4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4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4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4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4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4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4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4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4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4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4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4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4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4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4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4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4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4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4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4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4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4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4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4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4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4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4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4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4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4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4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4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4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4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4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4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4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4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4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4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4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4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4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4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4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4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4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4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4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4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4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4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4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4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4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4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4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4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4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4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4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4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4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4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4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4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4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4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4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4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4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4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4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4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4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4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4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4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4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4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4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4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4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4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4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4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4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4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4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4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4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4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4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4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4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4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4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4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4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4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4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4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4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4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4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4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4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4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4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4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4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4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4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4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4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4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4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4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4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4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4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4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4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4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4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4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4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4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4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4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4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4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4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4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4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4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4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4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4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4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4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4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4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4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4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4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4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4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4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4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4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4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4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4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4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4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4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4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4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4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4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4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4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4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4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4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4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4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4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4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4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4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4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4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4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4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4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4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4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4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4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4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4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4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4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4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4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4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4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4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4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4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4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4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4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4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4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4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4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4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4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4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4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4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4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4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4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4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4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4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4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4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4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4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4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4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4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4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4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4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4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4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4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4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4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4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4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4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4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4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4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4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4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4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4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4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4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4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4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4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4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4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4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4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4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4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4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4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4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4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4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4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4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4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4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4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4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4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4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4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4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4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4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4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4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4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4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4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4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4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4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4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4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4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4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4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4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4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4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4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4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4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4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4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4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4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4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4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4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4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4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4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4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4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4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4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4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4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4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4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4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4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4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4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4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4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4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4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4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4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4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4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4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4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4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4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4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4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4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4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4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4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4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4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4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4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4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4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4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4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4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4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4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4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4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4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4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4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4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4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4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C1:D1"/>
    <mergeCell ref="C2:D2"/>
    <mergeCell ref="C3:D3"/>
    <mergeCell ref="B5:D5"/>
  </mergeCells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54.86"/>
    <col customWidth="1" min="3" max="3" width="17.14"/>
    <col customWidth="1" min="4" max="4" width="15.71"/>
    <col customWidth="1" min="5" max="5" width="15.57"/>
    <col customWidth="1" min="6" max="6" width="10.86"/>
    <col customWidth="1" min="7" max="7" width="12.71"/>
    <col customWidth="1" min="8" max="8" width="13.43"/>
    <col customWidth="1" min="9" max="26" width="8.71"/>
  </cols>
  <sheetData>
    <row r="1">
      <c r="A1" s="1"/>
      <c r="B1" s="2"/>
      <c r="C1" s="35"/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35"/>
      <c r="D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5"/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70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6" t="s">
        <v>1</v>
      </c>
      <c r="C7" s="36" t="s">
        <v>37</v>
      </c>
      <c r="D7" s="36">
        <v>2023.0</v>
      </c>
      <c r="E7" s="36">
        <v>2024.0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 t="s">
        <v>71</v>
      </c>
      <c r="C10" s="4">
        <v>9.461494747E7</v>
      </c>
      <c r="D10" s="4">
        <v>2.0432678078E8</v>
      </c>
      <c r="E10" s="4">
        <v>1.6956044538E8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 t="s">
        <v>72</v>
      </c>
      <c r="C11" s="4">
        <v>-3907622.61</v>
      </c>
      <c r="D11" s="4">
        <v>-1.7464753967E8</v>
      </c>
      <c r="E11" s="4">
        <v>-5.857470719E7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 t="s">
        <v>73</v>
      </c>
      <c r="C12" s="4">
        <v>1027028.84</v>
      </c>
      <c r="D12" s="4"/>
      <c r="E12" s="4">
        <v>2441312.19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 t="s">
        <v>74</v>
      </c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7" t="s">
        <v>75</v>
      </c>
      <c r="C14" s="38">
        <v>5.65843537E7</v>
      </c>
      <c r="D14" s="39">
        <f t="shared" ref="D14:E14" si="1">SUM(D10:D13)</f>
        <v>29679241.11</v>
      </c>
      <c r="E14" s="39">
        <f t="shared" si="1"/>
        <v>113427050.4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76</v>
      </c>
      <c r="C15" s="4">
        <v>3.160019726E7</v>
      </c>
      <c r="D15" s="4">
        <v>4.145756174E7</v>
      </c>
      <c r="E15" s="4">
        <v>7.110436358E7</v>
      </c>
      <c r="F15" s="2"/>
      <c r="G15" s="2"/>
      <c r="H15" s="2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77</v>
      </c>
      <c r="C16" s="4">
        <v>4.314123876E7</v>
      </c>
      <c r="D16" s="4">
        <v>1.952491967E7</v>
      </c>
      <c r="E16" s="4">
        <v>3.010470356E7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7" t="s">
        <v>78</v>
      </c>
      <c r="C17" s="39">
        <f t="shared" ref="C17:E17" si="2">SUM(C15:C16)</f>
        <v>74741436.02</v>
      </c>
      <c r="D17" s="39">
        <f t="shared" si="2"/>
        <v>60982481.41</v>
      </c>
      <c r="E17" s="39">
        <f t="shared" si="2"/>
        <v>101209067.1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79</v>
      </c>
      <c r="C18" s="39">
        <f t="shared" ref="C18:E18" si="3">+C14-C17</f>
        <v>-18157082.32</v>
      </c>
      <c r="D18" s="39">
        <f t="shared" si="3"/>
        <v>-31303240.3</v>
      </c>
      <c r="E18" s="39">
        <f t="shared" si="3"/>
        <v>12217983.24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 t="s">
        <v>80</v>
      </c>
      <c r="C19" s="4">
        <v>1.0893576562E8</v>
      </c>
      <c r="D19" s="4">
        <v>1.2285978127E8</v>
      </c>
      <c r="E19" s="4">
        <v>1.2553860815E8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 t="s">
        <v>81</v>
      </c>
      <c r="C20" s="4">
        <v>3520955.11</v>
      </c>
      <c r="D20" s="4">
        <v>3271716.47</v>
      </c>
      <c r="E20" s="4">
        <v>8607151.82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7" t="s">
        <v>82</v>
      </c>
      <c r="C21" s="39">
        <v>-1.3061380305E8</v>
      </c>
      <c r="D21" s="39">
        <v>-1.5743473804E8</v>
      </c>
      <c r="E21" s="39">
        <f>E18-E19-E20</f>
        <v>-121927776.7</v>
      </c>
      <c r="F21" s="2"/>
      <c r="G21" s="2"/>
      <c r="H21" s="2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 t="s">
        <v>83</v>
      </c>
      <c r="C22" s="40">
        <v>368627.35</v>
      </c>
      <c r="D22" s="4">
        <v>530424.06</v>
      </c>
      <c r="E22" s="40">
        <v>1.018886029E7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 t="s">
        <v>84</v>
      </c>
      <c r="C23" s="4">
        <v>1.112402037E7</v>
      </c>
      <c r="D23" s="4">
        <v>1127530.95</v>
      </c>
      <c r="E23" s="4">
        <v>6091709.83</v>
      </c>
      <c r="F23" s="2"/>
      <c r="G23" s="2"/>
      <c r="H23" s="2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 t="s">
        <v>85</v>
      </c>
      <c r="C24" s="4">
        <v>1.356918979E7</v>
      </c>
      <c r="D24" s="4">
        <v>2.508011218E7</v>
      </c>
      <c r="E24" s="4">
        <v>1.806609044E7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 t="s">
        <v>86</v>
      </c>
      <c r="C25" s="4"/>
      <c r="D25" s="4">
        <v>9154047.35</v>
      </c>
      <c r="E25" s="4">
        <v>2.523403745E7</v>
      </c>
      <c r="F25" s="2"/>
      <c r="G25" s="2"/>
      <c r="H25" s="2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7" t="s">
        <v>87</v>
      </c>
      <c r="C26" s="39">
        <v>-1.5493838586E8</v>
      </c>
      <c r="D26" s="39">
        <f t="shared" ref="D26:E26" si="4">D21+D22-D23-D24+D25</f>
        <v>-173957909.8</v>
      </c>
      <c r="E26" s="39">
        <f t="shared" si="4"/>
        <v>-110662679.3</v>
      </c>
      <c r="F26" s="2"/>
      <c r="G26" s="2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 t="s">
        <v>88</v>
      </c>
      <c r="C27" s="4"/>
      <c r="D27" s="4"/>
      <c r="E27" s="4">
        <v>242872.86</v>
      </c>
      <c r="F27" s="2"/>
      <c r="G27" s="2"/>
      <c r="H27" s="2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 t="s">
        <v>89</v>
      </c>
      <c r="C28" s="4">
        <v>628415.51</v>
      </c>
      <c r="D28" s="4">
        <v>5404772.31</v>
      </c>
      <c r="E28" s="4">
        <v>3.915256407E7</v>
      </c>
      <c r="F28" s="2"/>
      <c r="G28" s="2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7" t="s">
        <v>90</v>
      </c>
      <c r="C29" s="41">
        <f t="shared" ref="C29:E29" si="5">C27-C28</f>
        <v>-628415.51</v>
      </c>
      <c r="D29" s="39">
        <f t="shared" si="5"/>
        <v>-5404772.31</v>
      </c>
      <c r="E29" s="39">
        <f t="shared" si="5"/>
        <v>-38909691.21</v>
      </c>
      <c r="F29" s="2"/>
      <c r="G29" s="2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7" t="s">
        <v>91</v>
      </c>
      <c r="C30" s="39">
        <v>-1.5556680137E8</v>
      </c>
      <c r="D30" s="39">
        <f t="shared" ref="D30:E30" si="6">+D29+D26</f>
        <v>-179362682.1</v>
      </c>
      <c r="E30" s="39">
        <f t="shared" si="6"/>
        <v>-149572370.5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 t="s">
        <v>92</v>
      </c>
      <c r="C31" s="4"/>
      <c r="D31" s="4">
        <v>9000.0</v>
      </c>
      <c r="E31" s="4">
        <v>-10000.0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 t="s">
        <v>93</v>
      </c>
      <c r="C32" s="4">
        <v>1222712.89</v>
      </c>
      <c r="D32" s="4">
        <v>3096711.82</v>
      </c>
      <c r="E32" s="4">
        <v>1.263947328E7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7" t="s">
        <v>94</v>
      </c>
      <c r="C33" s="39">
        <v>5.695298105E7</v>
      </c>
      <c r="D33" s="39">
        <v>3.936371312E7</v>
      </c>
      <c r="E33" s="39">
        <v>1.4909282098E8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7" t="s">
        <v>95</v>
      </c>
      <c r="C34" s="39">
        <v>2.1129706953E8</v>
      </c>
      <c r="D34" s="39">
        <v>2.2183210641E8</v>
      </c>
      <c r="E34" s="39">
        <v>2.8603571817E8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7" t="s">
        <v>96</v>
      </c>
      <c r="C35" s="39">
        <v>-1.5434408848E8</v>
      </c>
      <c r="D35" s="39">
        <v>-1.8246839329E8</v>
      </c>
      <c r="E35" s="39">
        <v>-1.3694289719E8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 t="s">
        <v>97</v>
      </c>
      <c r="C36" s="4"/>
      <c r="D36" s="4"/>
      <c r="E36" s="4"/>
      <c r="F36" s="2"/>
      <c r="G36" s="2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 t="s">
        <v>98</v>
      </c>
      <c r="C37" s="4"/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9" t="s">
        <v>99</v>
      </c>
      <c r="C38" s="4"/>
      <c r="D38" s="4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42" t="s">
        <v>100</v>
      </c>
      <c r="C39" s="43">
        <f t="shared" ref="C39:E39" si="7">+C35</f>
        <v>-154344088.5</v>
      </c>
      <c r="D39" s="43">
        <f t="shared" si="7"/>
        <v>-182468393.3</v>
      </c>
      <c r="E39" s="43">
        <f t="shared" si="7"/>
        <v>-136942897.2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D1:E1"/>
    <mergeCell ref="D2:E2"/>
    <mergeCell ref="D3:E3"/>
    <mergeCell ref="B5:C5"/>
  </mergeCells>
  <printOptions/>
  <pageMargins bottom="0.3" footer="0.0" header="0.0" left="0.7" right="0.7" top="0.3"/>
  <pageSetup paperSize="9" orientation="portrait"/>
  <drawing r:id="rId1"/>
</worksheet>
</file>