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F" sheetId="1" r:id="rId5"/>
    <sheet state="visible" name="PASSIF" sheetId="2" r:id="rId6"/>
    <sheet state="visible" name="Journal_retraitement" sheetId="3" r:id="rId7"/>
    <sheet state="visible" name="Bilan_financier" sheetId="4" r:id="rId8"/>
    <sheet state="visible" name="TR" sheetId="5" r:id="rId9"/>
  </sheets>
  <definedNames/>
  <calcPr/>
</workbook>
</file>

<file path=xl/sharedStrings.xml><?xml version="1.0" encoding="utf-8"?>
<sst xmlns="http://schemas.openxmlformats.org/spreadsheetml/2006/main" count="216" uniqueCount="159">
  <si>
    <t>Actif</t>
  </si>
  <si>
    <t>Exercice  2025</t>
  </si>
  <si>
    <t>TAFADIS</t>
  </si>
  <si>
    <t>Libellé</t>
  </si>
  <si>
    <t xml:space="preserve">Brut </t>
  </si>
  <si>
    <t>Amorti. / Provo.</t>
  </si>
  <si>
    <t>Net 2025</t>
  </si>
  <si>
    <t>ACTIFS NON COURANTS</t>
  </si>
  <si>
    <t>Ecart d’acquisition (ou goodwill)</t>
  </si>
  <si>
    <t>Immobilisations incorporelles</t>
  </si>
  <si>
    <t xml:space="preserve">Immobilisations corporelles </t>
  </si>
  <si>
    <t xml:space="preserve"> Terrains</t>
  </si>
  <si>
    <t xml:space="preserve"> Bâtiments</t>
  </si>
  <si>
    <t xml:space="preserve"> Autres immobilisations Corporelles</t>
  </si>
  <si>
    <t xml:space="preserve"> Immobilisations en concession</t>
  </si>
  <si>
    <t>Immobilisations en cours</t>
  </si>
  <si>
    <t>Immobilisations financières</t>
  </si>
  <si>
    <t xml:space="preserve"> Titres mis en équivalence</t>
  </si>
  <si>
    <t xml:space="preserve"> Autres participations et créances rattachées</t>
  </si>
  <si>
    <t xml:space="preserve"> Autres titres immobilisés</t>
  </si>
  <si>
    <t xml:space="preserve"> Prêts et autres actifs financiers  non courants</t>
  </si>
  <si>
    <t xml:space="preserve"> Impôts différés actif</t>
  </si>
  <si>
    <t xml:space="preserve"> TOTAL ACTIF NON COURANT</t>
  </si>
  <si>
    <t>ACTIF COURANT</t>
  </si>
  <si>
    <t>Stocks et encours</t>
  </si>
  <si>
    <t>Créances et emplois assimilés</t>
  </si>
  <si>
    <t xml:space="preserve"> Clients</t>
  </si>
  <si>
    <t xml:space="preserve"> Autres débiteurs</t>
  </si>
  <si>
    <t xml:space="preserve"> Impôts et assimilés</t>
  </si>
  <si>
    <t xml:space="preserve"> Autres créances et emplois  Assimilés</t>
  </si>
  <si>
    <t>Disponibilités et assimilés</t>
  </si>
  <si>
    <t>Placements et autres actifs  financiers courants</t>
  </si>
  <si>
    <t xml:space="preserve"> Trésorerie</t>
  </si>
  <si>
    <t>TOTAL ACTIF COURANT</t>
  </si>
  <si>
    <t>TOTAL GENERAL ACTIF</t>
  </si>
  <si>
    <t>EXERCICE   2025</t>
  </si>
  <si>
    <t>Exercice 2025</t>
  </si>
  <si>
    <t>CAPITAUX PROPRES</t>
  </si>
  <si>
    <t>Capital émis</t>
  </si>
  <si>
    <t>Capital non appelé</t>
  </si>
  <si>
    <t xml:space="preserve">Autres dotations en fonds propres </t>
  </si>
  <si>
    <t>Primes et réserves / (Réserves consolidées(1))</t>
  </si>
  <si>
    <t>Ecart de réévaluation</t>
  </si>
  <si>
    <t>Ecart d’équivalence (1)</t>
  </si>
  <si>
    <t>Résultat net  /  (Résultat net part du groupe (1))</t>
  </si>
  <si>
    <t>Autres capitaux propres - Report à nouveau</t>
  </si>
  <si>
    <t>Compte de Liaison</t>
  </si>
  <si>
    <t>Part de la société consolidant (1)</t>
  </si>
  <si>
    <t xml:space="preserve">  Part des minoritaires (1)</t>
  </si>
  <si>
    <t>TOTAL CAPITAUX PROPRES I</t>
  </si>
  <si>
    <t>PASSIFS NON-COURANTS </t>
  </si>
  <si>
    <t>Emprunts et dettes financières</t>
  </si>
  <si>
    <t>Impôts (différés et provisionnés)</t>
  </si>
  <si>
    <t>Autres dettes non courantes</t>
  </si>
  <si>
    <t>Provisions et produits constatés d’avance</t>
  </si>
  <si>
    <t>TOTAL PASSIFS NON COURANTS II</t>
  </si>
  <si>
    <t>PASSIFS COURANTS </t>
  </si>
  <si>
    <t>Fournisseurs et comptes rattachés</t>
  </si>
  <si>
    <t>Impôts</t>
  </si>
  <si>
    <t>Autres dettes</t>
  </si>
  <si>
    <t>Trésorerie passif</t>
  </si>
  <si>
    <t>TOTAL PASSIFS COURANTS III</t>
  </si>
  <si>
    <t>TOTAL GENERAL PASSIF ( I+II+III)</t>
  </si>
  <si>
    <t xml:space="preserve">perte de valeur  sur les actions </t>
  </si>
  <si>
    <t>Journal de retraitements</t>
  </si>
  <si>
    <t>Comptes</t>
  </si>
  <si>
    <t>Libéllés</t>
  </si>
  <si>
    <t>Montants</t>
  </si>
  <si>
    <t>Débit</t>
  </si>
  <si>
    <t>Crédit</t>
  </si>
  <si>
    <t>Retraitement dotations aux amortissements IMMO INCOR</t>
  </si>
  <si>
    <t>Retraitement dotations aux amortissements IMMO COR</t>
  </si>
  <si>
    <t>Retraitement Provisions sur créance</t>
  </si>
  <si>
    <t>Retraitement stocks</t>
  </si>
  <si>
    <t>Retraitement des stocks</t>
  </si>
  <si>
    <t>Autres retraitements d'actif</t>
  </si>
  <si>
    <t>Total journal</t>
  </si>
  <si>
    <t>Dettes par age</t>
  </si>
  <si>
    <t>Désignations</t>
  </si>
  <si>
    <t>Total</t>
  </si>
  <si>
    <t>Moins 1 an</t>
  </si>
  <si>
    <t>Plus 1 an</t>
  </si>
  <si>
    <t>ACTIF</t>
  </si>
  <si>
    <t>LIBELLE</t>
  </si>
  <si>
    <t>N</t>
  </si>
  <si>
    <t>%</t>
  </si>
  <si>
    <t>Capitaux Propres</t>
  </si>
  <si>
    <t>Ecart d'acquisition-goodwill positif ou négatif</t>
  </si>
  <si>
    <t xml:space="preserve">Primes et réserves -  Réserves consolidées </t>
  </si>
  <si>
    <t>Ecart de réévaluationx</t>
  </si>
  <si>
    <t>Immobilisations corporelles</t>
  </si>
  <si>
    <t xml:space="preserve">Ecart d'équivalence </t>
  </si>
  <si>
    <t>Terrainsx</t>
  </si>
  <si>
    <t xml:space="preserve">Résultat net - Résultat net part du groupe </t>
  </si>
  <si>
    <t>Bâtiments</t>
  </si>
  <si>
    <t>Autres capitaux propores - Report à nouveau</t>
  </si>
  <si>
    <t>Autres immobilisations corporelles</t>
  </si>
  <si>
    <t xml:space="preserve">Part de la société consolidante </t>
  </si>
  <si>
    <t>Immobilisations en concession</t>
  </si>
  <si>
    <t xml:space="preserve">Part des minoritaires </t>
  </si>
  <si>
    <t>Immobilisations encours</t>
  </si>
  <si>
    <t xml:space="preserve">TOTAL </t>
  </si>
  <si>
    <t>D.L.M.T</t>
  </si>
  <si>
    <t>Titres mis en équivalence</t>
  </si>
  <si>
    <t>Autres participations et créances rattachées</t>
  </si>
  <si>
    <t>Autres titres immobilisés</t>
  </si>
  <si>
    <t>Prêts et autres actifs financiers non courants</t>
  </si>
  <si>
    <t>Provisions et produits constatés d'avance</t>
  </si>
  <si>
    <t>Impôts différés actif</t>
  </si>
  <si>
    <t>Actifs Fixes</t>
  </si>
  <si>
    <t>Clients</t>
  </si>
  <si>
    <t>Autres débiteurs</t>
  </si>
  <si>
    <t>Impôts et assimilés</t>
  </si>
  <si>
    <t xml:space="preserve">TOTAL  PASSIF </t>
  </si>
  <si>
    <t>Autres créances et emplois assimilés</t>
  </si>
  <si>
    <t>Placements et autres actifs financiers courants</t>
  </si>
  <si>
    <t>Trésorerie</t>
  </si>
  <si>
    <t>Actifs  circulants</t>
  </si>
  <si>
    <t xml:space="preserve">Disponibilités </t>
  </si>
  <si>
    <t>TOTAL  ACTIF</t>
  </si>
  <si>
    <t>PASSIF</t>
  </si>
  <si>
    <t>Capitaux                     permanents</t>
  </si>
  <si>
    <t>D.C.T</t>
  </si>
  <si>
    <t>réalisation 2025</t>
  </si>
  <si>
    <t>réalisation 2024</t>
  </si>
  <si>
    <t>Evolution %  (25 / 24)</t>
  </si>
  <si>
    <t>Vente et produits annexes (CHIFFRE D'AFFAIRES)</t>
  </si>
  <si>
    <t>Variation stocks produits finis et en cours</t>
  </si>
  <si>
    <t>Production immobilisée</t>
  </si>
  <si>
    <t>Subventions d'exploitation</t>
  </si>
  <si>
    <t>I-Production de l’exercice :</t>
  </si>
  <si>
    <t>Achats consommés</t>
  </si>
  <si>
    <t>Services extérieurs et autres consommations</t>
  </si>
  <si>
    <t>II-Consommations de l’exercice</t>
  </si>
  <si>
    <t>III-Valeur ajoutée d’exploitation :</t>
  </si>
  <si>
    <t>Charges de personnels</t>
  </si>
  <si>
    <t>Impôts, taxes et versements assimilés</t>
  </si>
  <si>
    <t>IV- Excédent brut d’exploitation :</t>
  </si>
  <si>
    <t>Autres produits opérationnels</t>
  </si>
  <si>
    <t>Autres charges opérationnels</t>
  </si>
  <si>
    <t>Dot aux amortissements et provisions</t>
  </si>
  <si>
    <t>Reprise sur pertes de valeur et provisions</t>
  </si>
  <si>
    <t>V- Résultat opérationnel</t>
  </si>
  <si>
    <t>Produits financiers</t>
  </si>
  <si>
    <t>Charges financières</t>
  </si>
  <si>
    <t>VI- Résultat financier :</t>
  </si>
  <si>
    <t>VII-Résultat ordinaire avant impôt (v + vi) :</t>
  </si>
  <si>
    <t>Impôts exigibles sur résultats ordinaires</t>
  </si>
  <si>
    <t>Impôts différé (variation) sur résultat ordinaires</t>
  </si>
  <si>
    <t>TOTAL DES PRODUITS DES ACTIVITES ORDINAIRES</t>
  </si>
  <si>
    <t>TOTAL DES CHARGES DES ACTIVITES ORDINAIRES</t>
  </si>
  <si>
    <t>VIII.RESULTAT NET DES ACTIVITES ORDINAIRES</t>
  </si>
  <si>
    <t>Eléments extraordinaire (produits) (à préciser)</t>
  </si>
  <si>
    <t>Eléments extraordinaire (charges) (à préciser)</t>
  </si>
  <si>
    <t>Résultat Net de l'exercice</t>
  </si>
  <si>
    <t>CAF</t>
  </si>
  <si>
    <t>Actif net</t>
  </si>
  <si>
    <t>Investissement</t>
  </si>
  <si>
    <t>Exercice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</si>
</sst>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 #,##0.00&quot;   &quot;;\-#,##0.00&quot;   &quot;;\-00&quot;   &quot;;\ @\ "/>
    <numFmt numFmtId="165" formatCode="\ #,##0.00\ ;\-#,##0.00\ ;\-00\ ;\ @\ "/>
    <numFmt numFmtId="166" formatCode="\ 0\ ;\-0\ ;\-00\ ;\ @\ "/>
    <numFmt numFmtId="167" formatCode="\ #,##0.000000&quot;   &quot;;\-#,##0.000000&quot;   &quot;;\-00&quot;   &quot;;\ @\ "/>
  </numFmts>
  <fonts count="1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4.0"/>
      <color rgb="FF000000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11.0"/>
      <color rgb="FFFF0000"/>
      <name val="Calibri"/>
    </font>
    <font/>
    <font>
      <b/>
      <sz val="16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0.0"/>
      <color rgb="FF000000"/>
      <name val="Arial"/>
    </font>
    <font>
      <sz val="11.0"/>
      <color rgb="FF005E00"/>
      <name val="Arial"/>
    </font>
    <font>
      <sz val="9.0"/>
      <color rgb="FF000000"/>
      <name val="Calibri"/>
    </font>
    <font>
      <b/>
      <sz val="9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B4C6E7"/>
        <bgColor rgb="FFB4C6E7"/>
      </patternFill>
    </fill>
    <fill>
      <patternFill patternType="solid">
        <fgColor rgb="FFFFE699"/>
        <bgColor rgb="FFFFE699"/>
      </patternFill>
    </fill>
    <fill>
      <patternFill patternType="solid">
        <fgColor rgb="FFBDD6EE"/>
        <bgColor rgb="FFBDD6EE"/>
      </patternFill>
    </fill>
    <fill>
      <patternFill patternType="solid">
        <fgColor rgb="FFB8CCE4"/>
        <bgColor rgb="FFB8CCE4"/>
      </patternFill>
    </fill>
  </fills>
  <borders count="3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hair">
        <color rgb="FF000000"/>
      </top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/>
      <right/>
      <top/>
      <bottom/>
    </border>
    <border>
      <right style="hair">
        <color rgb="FFFFFFFF"/>
      </right>
      <top style="hair">
        <color rgb="FFFFFFFF"/>
      </top>
      <bottom style="hair">
        <color rgb="FFFFFFFF"/>
      </bottom>
    </border>
    <border>
      <right style="hair">
        <color rgb="FFFFFFFF"/>
      </right>
      <top style="hair">
        <color rgb="FFFFFFFF"/>
      </top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4" xfId="0" applyAlignment="1" applyFont="1" applyNumberFormat="1">
      <alignment horizontal="center" shrinkToFit="0" vertical="bottom" wrapText="0"/>
    </xf>
    <xf borderId="0" fillId="0" fontId="1" numFmtId="4" xfId="0" applyAlignment="1" applyFont="1" applyNumberFormat="1">
      <alignment horizontal="center" shrinkToFit="0" vertical="bottom" wrapText="0"/>
    </xf>
    <xf borderId="1" fillId="2" fontId="4" numFmtId="0" xfId="0" applyAlignment="1" applyBorder="1" applyFill="1" applyFont="1">
      <alignment horizontal="center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0" fillId="0" fontId="3" numFmtId="164" xfId="0" applyAlignment="1" applyFont="1" applyNumberFormat="1">
      <alignment shrinkToFit="0" vertical="bottom" wrapText="0"/>
    </xf>
    <xf borderId="3" fillId="2" fontId="4" numFmtId="0" xfId="0" applyAlignment="1" applyBorder="1" applyFont="1">
      <alignment shrinkToFit="0" vertical="center" wrapText="0"/>
    </xf>
    <xf borderId="4" fillId="2" fontId="4" numFmtId="0" xfId="0" applyAlignment="1" applyBorder="1" applyFont="1">
      <alignment horizontal="left" shrinkToFit="0" vertical="center" wrapText="0"/>
    </xf>
    <xf borderId="2" fillId="2" fontId="4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5" fillId="0" fontId="4" numFmtId="0" xfId="0" applyAlignment="1" applyBorder="1" applyFont="1">
      <alignment horizontal="left" shrinkToFit="0" vertical="center" wrapText="0"/>
    </xf>
    <xf borderId="6" fillId="0" fontId="4" numFmtId="0" xfId="0" applyAlignment="1" applyBorder="1" applyFont="1">
      <alignment horizontal="left" shrinkToFit="0" vertical="center" wrapText="0"/>
    </xf>
    <xf borderId="7" fillId="0" fontId="1" numFmtId="4" xfId="0" applyAlignment="1" applyBorder="1" applyFont="1" applyNumberFormat="1">
      <alignment horizontal="right" shrinkToFit="0" vertical="center" wrapText="0"/>
    </xf>
    <xf borderId="1" fillId="0" fontId="1" numFmtId="4" xfId="0" applyAlignment="1" applyBorder="1" applyFont="1" applyNumberFormat="1">
      <alignment horizontal="right" shrinkToFit="0" vertical="center" wrapText="0"/>
    </xf>
    <xf borderId="8" fillId="2" fontId="4" numFmtId="0" xfId="0" applyAlignment="1" applyBorder="1" applyFont="1">
      <alignment horizontal="left" shrinkToFit="0" vertical="center" wrapText="0"/>
    </xf>
    <xf borderId="9" fillId="2" fontId="1" numFmtId="4" xfId="0" applyAlignment="1" applyBorder="1" applyFont="1" applyNumberFormat="1">
      <alignment horizontal="right" shrinkToFit="0" vertical="center" wrapText="0"/>
    </xf>
    <xf borderId="1" fillId="2" fontId="1" numFmtId="4" xfId="0" applyAlignment="1" applyBorder="1" applyFont="1" applyNumberFormat="1">
      <alignment horizontal="right" shrinkToFit="0" vertical="center" wrapText="0"/>
    </xf>
    <xf borderId="6" fillId="0" fontId="5" numFmtId="0" xfId="0" applyAlignment="1" applyBorder="1" applyFont="1">
      <alignment horizontal="left" shrinkToFit="0" vertical="center" wrapText="0"/>
    </xf>
    <xf borderId="5" fillId="0" fontId="3" numFmtId="4" xfId="0" applyAlignment="1" applyBorder="1" applyFont="1" applyNumberFormat="1">
      <alignment shrinkToFit="0" vertical="bottom" wrapText="0"/>
    </xf>
    <xf borderId="10" fillId="0" fontId="3" numFmtId="4" xfId="0" applyAlignment="1" applyBorder="1" applyFont="1" applyNumberFormat="1">
      <alignment shrinkToFit="0" vertical="bottom" wrapText="0"/>
    </xf>
    <xf borderId="11" fillId="0" fontId="3" numFmtId="4" xfId="0" applyAlignment="1" applyBorder="1" applyFont="1" applyNumberFormat="1">
      <alignment shrinkToFit="0" vertical="bottom" wrapText="0"/>
    </xf>
    <xf borderId="1" fillId="0" fontId="3" numFmtId="4" xfId="0" applyAlignment="1" applyBorder="1" applyFont="1" applyNumberFormat="1">
      <alignment shrinkToFit="0" vertical="bottom" wrapText="0"/>
    </xf>
    <xf borderId="12" fillId="0" fontId="5" numFmtId="0" xfId="0" applyAlignment="1" applyBorder="1" applyFont="1">
      <alignment horizontal="left" shrinkToFit="0" vertical="center" wrapText="0"/>
    </xf>
    <xf borderId="5" fillId="0" fontId="3" numFmtId="4" xfId="0" applyAlignment="1" applyBorder="1" applyFont="1" applyNumberFormat="1">
      <alignment horizontal="right" shrinkToFit="0" vertical="bottom" wrapText="0"/>
    </xf>
    <xf borderId="1" fillId="0" fontId="3" numFmtId="4" xfId="0" applyAlignment="1" applyBorder="1" applyFont="1" applyNumberFormat="1">
      <alignment horizontal="right" shrinkToFit="0" vertical="bottom" wrapText="0"/>
    </xf>
    <xf borderId="1" fillId="0" fontId="5" numFmtId="0" xfId="0" applyAlignment="1" applyBorder="1" applyFont="1">
      <alignment horizontal="left" shrinkToFit="0" vertical="center" wrapText="0"/>
    </xf>
    <xf borderId="8" fillId="3" fontId="4" numFmtId="0" xfId="0" applyAlignment="1" applyBorder="1" applyFill="1" applyFont="1">
      <alignment horizontal="left" shrinkToFit="0" vertical="center" wrapText="0"/>
    </xf>
    <xf borderId="3" fillId="3" fontId="1" numFmtId="4" xfId="0" applyAlignment="1" applyBorder="1" applyFont="1" applyNumberFormat="1">
      <alignment horizontal="right" shrinkToFit="0" vertical="bottom" wrapText="0"/>
    </xf>
    <xf borderId="1" fillId="3" fontId="1" numFmtId="4" xfId="0" applyAlignment="1" applyBorder="1" applyFont="1" applyNumberFormat="1">
      <alignment horizontal="right" shrinkToFit="0" vertical="bottom" wrapText="0"/>
    </xf>
    <xf borderId="0" fillId="0" fontId="3" numFmtId="9" xfId="0" applyAlignment="1" applyFont="1" applyNumberFormat="1">
      <alignment shrinkToFit="0" vertical="bottom" wrapText="0"/>
    </xf>
    <xf borderId="2" fillId="2" fontId="1" numFmtId="4" xfId="0" applyAlignment="1" applyBorder="1" applyFont="1" applyNumberFormat="1">
      <alignment horizontal="right" shrinkToFit="0" vertical="center" wrapText="0"/>
    </xf>
    <xf borderId="0" fillId="0" fontId="3" numFmtId="4" xfId="0" applyAlignment="1" applyFont="1" applyNumberFormat="1">
      <alignment shrinkToFit="0" vertical="bottom" wrapText="0"/>
    </xf>
    <xf borderId="5" fillId="0" fontId="1" numFmtId="4" xfId="0" applyAlignment="1" applyBorder="1" applyFont="1" applyNumberFormat="1">
      <alignment horizontal="right" shrinkToFit="0" vertical="bottom" wrapText="0"/>
    </xf>
    <xf borderId="1" fillId="2" fontId="4" numFmtId="0" xfId="0" applyAlignment="1" applyBorder="1" applyFont="1">
      <alignment horizontal="left" shrinkToFit="0" vertical="center" wrapText="0"/>
    </xf>
    <xf borderId="3" fillId="2" fontId="1" numFmtId="4" xfId="0" applyAlignment="1" applyBorder="1" applyFont="1" applyNumberFormat="1">
      <alignment horizontal="right" shrinkToFit="0" vertical="center" wrapText="0"/>
    </xf>
    <xf borderId="13" fillId="2" fontId="4" numFmtId="0" xfId="0" applyAlignment="1" applyBorder="1" applyFont="1">
      <alignment horizontal="left" shrinkToFit="0" vertical="center" wrapText="0"/>
    </xf>
    <xf borderId="3" fillId="2" fontId="3" numFmtId="4" xfId="0" applyAlignment="1" applyBorder="1" applyFont="1" applyNumberFormat="1">
      <alignment horizontal="right" shrinkToFit="0" vertical="bottom" wrapText="0"/>
    </xf>
    <xf borderId="1" fillId="2" fontId="3" numFmtId="4" xfId="0" applyAlignment="1" applyBorder="1" applyFont="1" applyNumberFormat="1">
      <alignment horizontal="right" shrinkToFit="0" vertical="bottom" wrapText="0"/>
    </xf>
    <xf borderId="1" fillId="0" fontId="1" numFmtId="4" xfId="0" applyAlignment="1" applyBorder="1" applyFont="1" applyNumberFormat="1">
      <alignment horizontal="right" shrinkToFit="0" vertical="bottom" wrapText="0"/>
    </xf>
    <xf borderId="14" fillId="2" fontId="1" numFmtId="4" xfId="0" applyAlignment="1" applyBorder="1" applyFont="1" applyNumberFormat="1">
      <alignment horizontal="right" shrinkToFit="0" vertical="center" wrapText="0"/>
    </xf>
    <xf borderId="8" fillId="2" fontId="1" numFmtId="4" xfId="0" applyAlignment="1" applyBorder="1" applyFont="1" applyNumberFormat="1">
      <alignment horizontal="right" shrinkToFit="0" vertical="center" wrapText="0"/>
    </xf>
    <xf borderId="12" fillId="0" fontId="5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0"/>
    </xf>
    <xf borderId="2" fillId="2" fontId="6" numFmtId="0" xfId="0" applyAlignment="1" applyBorder="1" applyFont="1">
      <alignment horizontal="left" shrinkToFit="0" vertical="center" wrapText="0"/>
    </xf>
    <xf borderId="6" fillId="0" fontId="3" numFmtId="0" xfId="0" applyAlignment="1" applyBorder="1" applyFont="1">
      <alignment horizontal="left" shrinkToFit="0" vertical="center" wrapText="0"/>
    </xf>
    <xf borderId="15" fillId="0" fontId="3" numFmtId="4" xfId="0" applyAlignment="1" applyBorder="1" applyFont="1" applyNumberFormat="1">
      <alignment horizontal="right" shrinkToFit="0" vertical="center" wrapText="0"/>
    </xf>
    <xf borderId="15" fillId="0" fontId="3" numFmtId="0" xfId="0" applyAlignment="1" applyBorder="1" applyFont="1">
      <alignment horizontal="left" shrinkToFit="0" vertical="center" wrapText="0"/>
    </xf>
    <xf borderId="12" fillId="0" fontId="3" numFmtId="0" xfId="0" applyAlignment="1" applyBorder="1" applyFont="1">
      <alignment horizontal="left" shrinkToFit="0" vertical="center" wrapText="0"/>
    </xf>
    <xf borderId="16" fillId="0" fontId="3" numFmtId="0" xfId="0" applyAlignment="1" applyBorder="1" applyFont="1">
      <alignment horizontal="right" shrinkToFit="0" vertical="center" wrapText="0"/>
    </xf>
    <xf borderId="16" fillId="0" fontId="3" numFmtId="0" xfId="0" applyAlignment="1" applyBorder="1" applyFont="1">
      <alignment horizontal="left" shrinkToFit="0" vertical="center" wrapText="0"/>
    </xf>
    <xf borderId="2" fillId="2" fontId="1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7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8" fillId="2" fontId="1" numFmtId="0" xfId="0" applyAlignment="1" applyBorder="1" applyFont="1">
      <alignment shrinkToFit="0" vertical="top" wrapText="0"/>
    </xf>
    <xf borderId="8" fillId="2" fontId="1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center" shrinkToFit="0" vertical="bottom" wrapText="0"/>
    </xf>
    <xf borderId="5" fillId="4" fontId="3" numFmtId="0" xfId="0" applyAlignment="1" applyBorder="1" applyFill="1" applyFont="1">
      <alignment horizontal="center" shrinkToFit="0" vertical="center" wrapText="0"/>
    </xf>
    <xf borderId="18" fillId="0" fontId="7" numFmtId="0" xfId="0" applyBorder="1" applyFont="1"/>
    <xf borderId="19" fillId="4" fontId="3" numFmtId="0" xfId="0" applyAlignment="1" applyBorder="1" applyFont="1">
      <alignment horizontal="center" shrinkToFit="0" vertical="center" wrapText="0"/>
    </xf>
    <xf borderId="20" fillId="0" fontId="7" numFmtId="0" xfId="0" applyBorder="1" applyFont="1"/>
    <xf borderId="21" fillId="0" fontId="7" numFmtId="0" xfId="0" applyBorder="1" applyFont="1"/>
    <xf borderId="1" fillId="4" fontId="3" numFmtId="0" xfId="0" applyAlignment="1" applyBorder="1" applyFont="1">
      <alignment horizontal="center" shrinkToFit="0" vertical="center" wrapText="0"/>
    </xf>
    <xf borderId="7" fillId="0" fontId="7" numFmtId="0" xfId="0" applyBorder="1" applyFont="1"/>
    <xf borderId="22" fillId="0" fontId="7" numFmtId="0" xfId="0" applyBorder="1" applyFont="1"/>
    <xf borderId="15" fillId="0" fontId="7" numFmtId="0" xfId="0" applyBorder="1" applyFont="1"/>
    <xf borderId="23" fillId="4" fontId="3" numFmtId="0" xfId="0" applyAlignment="1" applyBorder="1" applyFont="1">
      <alignment horizontal="center" shrinkToFit="0" vertical="center" wrapText="0"/>
    </xf>
    <xf borderId="19" fillId="0" fontId="3" numFmtId="0" xfId="0" applyAlignment="1" applyBorder="1" applyFont="1">
      <alignment horizontal="center" shrinkToFit="0" vertical="bottom" wrapText="0"/>
    </xf>
    <xf borderId="24" fillId="0" fontId="3" numFmtId="0" xfId="0" applyAlignment="1" applyBorder="1" applyFont="1">
      <alignment horizontal="center" shrinkToFit="0" vertical="bottom" wrapText="0"/>
    </xf>
    <xf borderId="19" fillId="0" fontId="3" numFmtId="0" xfId="0" applyAlignment="1" applyBorder="1" applyFont="1">
      <alignment shrinkToFit="0" vertical="bottom" wrapText="0"/>
    </xf>
    <xf borderId="24" fillId="0" fontId="3" numFmtId="4" xfId="0" applyAlignment="1" applyBorder="1" applyFont="1" applyNumberFormat="1">
      <alignment shrinkToFit="0" vertical="bottom" wrapText="0"/>
    </xf>
    <xf borderId="21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7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15" fillId="0" fontId="3" numFmtId="4" xfId="0" applyAlignment="1" applyBorder="1" applyFont="1" applyNumberFormat="1">
      <alignment shrinkToFit="0" vertical="bottom" wrapText="0"/>
    </xf>
    <xf borderId="12" fillId="0" fontId="3" numFmtId="0" xfId="0" applyAlignment="1" applyBorder="1" applyFont="1">
      <alignment shrinkToFit="0" vertical="bottom" wrapText="0"/>
    </xf>
    <xf borderId="20" fillId="0" fontId="3" numFmtId="4" xfId="0" applyAlignment="1" applyBorder="1" applyFont="1" applyNumberFormat="1">
      <alignment shrinkToFit="0" vertical="bottom" wrapText="0"/>
    </xf>
    <xf borderId="24" fillId="0" fontId="3" numFmtId="0" xfId="0" applyAlignment="1" applyBorder="1" applyFont="1">
      <alignment shrinkToFit="0" vertical="bottom" wrapText="0"/>
    </xf>
    <xf borderId="6" fillId="0" fontId="3" numFmtId="4" xfId="0" applyAlignment="1" applyBorder="1" applyFont="1" applyNumberFormat="1">
      <alignment shrinkToFit="0" vertical="bottom" wrapText="0"/>
    </xf>
    <xf borderId="19" fillId="0" fontId="3" numFmtId="0" xfId="0" applyAlignment="1" applyBorder="1" applyFont="1">
      <alignment horizontal="left" shrinkToFit="0" vertical="bottom" wrapText="0"/>
    </xf>
    <xf borderId="7" fillId="0" fontId="3" numFmtId="0" xfId="0" applyAlignment="1" applyBorder="1" applyFont="1">
      <alignment horizontal="left" shrinkToFit="0" vertical="bottom" wrapText="0"/>
    </xf>
    <xf borderId="15" fillId="0" fontId="3" numFmtId="0" xfId="0" applyAlignment="1" applyBorder="1" applyFont="1">
      <alignment shrinkToFit="0" vertical="bottom" wrapText="0"/>
    </xf>
    <xf borderId="5" fillId="4" fontId="3" numFmtId="0" xfId="0" applyAlignment="1" applyBorder="1" applyFont="1">
      <alignment horizontal="center" shrinkToFit="0" vertical="bottom" wrapText="0"/>
    </xf>
    <xf borderId="25" fillId="0" fontId="7" numFmtId="0" xfId="0" applyBorder="1" applyFont="1"/>
    <xf borderId="1" fillId="4" fontId="3" numFmtId="4" xfId="0" applyAlignment="1" applyBorder="1" applyFont="1" applyNumberFormat="1">
      <alignment shrinkToFit="0" vertical="bottom" wrapText="0"/>
    </xf>
    <xf borderId="1" fillId="4" fontId="3" numFmtId="165" xfId="0" applyAlignment="1" applyBorder="1" applyFont="1" applyNumberFormat="1">
      <alignment shrinkToFit="0" vertical="bottom" wrapText="0"/>
    </xf>
    <xf borderId="19" fillId="0" fontId="3" numFmtId="0" xfId="0" applyAlignment="1" applyBorder="1" applyFont="1">
      <alignment horizontal="left" shrinkToFit="0" vertical="center" wrapText="0"/>
    </xf>
    <xf borderId="19" fillId="0" fontId="3" numFmtId="165" xfId="0" applyAlignment="1" applyBorder="1" applyFont="1" applyNumberFormat="1">
      <alignment horizontal="center" shrinkToFit="0" vertical="center" wrapText="0"/>
    </xf>
    <xf borderId="26" fillId="0" fontId="3" numFmtId="0" xfId="0" applyAlignment="1" applyBorder="1" applyFont="1">
      <alignment horizontal="left" shrinkToFit="0" vertical="center" wrapText="0"/>
    </xf>
    <xf borderId="16" fillId="0" fontId="7" numFmtId="0" xfId="0" applyBorder="1" applyFont="1"/>
    <xf borderId="26" fillId="0" fontId="3" numFmtId="165" xfId="0" applyAlignment="1" applyBorder="1" applyFont="1" applyNumberFormat="1">
      <alignment horizontal="center" shrinkToFit="0" vertical="center" wrapText="0"/>
    </xf>
    <xf borderId="7" fillId="0" fontId="3" numFmtId="0" xfId="0" applyAlignment="1" applyBorder="1" applyFont="1">
      <alignment horizontal="left" shrinkToFit="0" vertical="center" wrapText="0"/>
    </xf>
    <xf borderId="7" fillId="0" fontId="3" numFmtId="165" xfId="0" applyAlignment="1" applyBorder="1" applyFont="1" applyNumberFormat="1">
      <alignment horizontal="center" shrinkToFit="0" vertical="bottom" wrapText="0"/>
    </xf>
    <xf borderId="7" fillId="0" fontId="3" numFmtId="165" xfId="0" applyAlignment="1" applyBorder="1" applyFont="1" applyNumberFormat="1">
      <alignment horizontal="center" shrinkToFit="0" vertical="center" wrapText="0"/>
    </xf>
    <xf borderId="5" fillId="4" fontId="3" numFmtId="165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27" fillId="4" fontId="9" numFmtId="0" xfId="0" applyAlignment="1" applyBorder="1" applyFont="1">
      <alignment horizontal="center" shrinkToFit="0" vertical="bottom" wrapText="0"/>
    </xf>
    <xf borderId="27" fillId="4" fontId="9" numFmtId="166" xfId="0" applyAlignment="1" applyBorder="1" applyFont="1" applyNumberForma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165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165" xfId="0" applyAlignment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27" fillId="4" fontId="9" numFmtId="0" xfId="0" applyAlignment="1" applyBorder="1" applyFont="1">
      <alignment shrinkToFit="0" vertical="bottom" wrapText="0"/>
    </xf>
    <xf borderId="27" fillId="4" fontId="9" numFmtId="165" xfId="0" applyAlignment="1" applyBorder="1" applyFont="1" applyNumberFormat="1">
      <alignment shrinkToFit="0" vertical="bottom" wrapText="0"/>
    </xf>
    <xf borderId="27" fillId="4" fontId="9" numFmtId="166" xfId="0" applyAlignment="1" applyBorder="1" applyFont="1" applyNumberFormat="1">
      <alignment shrinkToFit="0" vertical="bottom" wrapText="0"/>
    </xf>
    <xf borderId="0" fillId="0" fontId="9" numFmtId="9" xfId="0" applyAlignment="1" applyFont="1" applyNumberFormat="1">
      <alignment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11" numFmtId="165" xfId="0" applyAlignment="1" applyFont="1" applyNumberFormat="1">
      <alignment shrinkToFit="0" vertical="bottom" wrapText="0"/>
    </xf>
    <xf borderId="27" fillId="4" fontId="9" numFmtId="165" xfId="0" applyAlignment="1" applyBorder="1" applyFont="1" applyNumberFormat="1">
      <alignment horizontal="center" shrinkToFit="0" vertical="bottom" wrapText="0"/>
    </xf>
    <xf borderId="0" fillId="0" fontId="10" numFmtId="9" xfId="0" applyAlignment="1" applyFont="1" applyNumberForma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12" numFmtId="4" xfId="0" applyAlignment="1" applyFont="1" applyNumberFormat="1">
      <alignment horizontal="center" shrinkToFit="0" vertical="center" wrapText="0"/>
    </xf>
    <xf borderId="0" fillId="0" fontId="12" numFmtId="9" xfId="0" applyAlignment="1" applyFont="1" applyNumberFormat="1">
      <alignment horizontal="center" shrinkToFit="0" vertical="center" wrapText="0"/>
    </xf>
    <xf borderId="0" fillId="0" fontId="10" numFmtId="9" xfId="0" applyAlignment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1" fillId="5" fontId="4" numFmtId="0" xfId="0" applyAlignment="1" applyBorder="1" applyFill="1" applyFont="1">
      <alignment horizontal="center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1" fillId="6" fontId="4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bottom" wrapText="0"/>
    </xf>
    <xf borderId="12" fillId="0" fontId="13" numFmtId="0" xfId="0" applyAlignment="1" applyBorder="1" applyFont="1">
      <alignment shrinkToFit="0" vertical="center" wrapText="0"/>
    </xf>
    <xf borderId="12" fillId="0" fontId="13" numFmtId="4" xfId="0" applyAlignment="1" applyBorder="1" applyFont="1" applyNumberFormat="1">
      <alignment horizontal="right" shrinkToFit="0" vertical="center" wrapText="0"/>
    </xf>
    <xf borderId="16" fillId="0" fontId="13" numFmtId="4" xfId="0" applyAlignment="1" applyBorder="1" applyFont="1" applyNumberFormat="1">
      <alignment horizontal="right" shrinkToFit="0" vertical="center" wrapText="0"/>
    </xf>
    <xf borderId="1" fillId="5" fontId="4" numFmtId="0" xfId="0" applyAlignment="1" applyBorder="1" applyFont="1">
      <alignment horizontal="left" shrinkToFit="0" vertical="center" wrapText="0"/>
    </xf>
    <xf borderId="1" fillId="5" fontId="4" numFmtId="4" xfId="0" applyAlignment="1" applyBorder="1" applyFont="1" applyNumberFormat="1">
      <alignment horizontal="right" shrinkToFit="0" vertical="center" wrapText="0"/>
    </xf>
    <xf borderId="1" fillId="7" fontId="4" numFmtId="4" xfId="0" applyAlignment="1" applyBorder="1" applyFill="1" applyFont="1" applyNumberFormat="1">
      <alignment horizontal="right" shrinkToFit="0" vertical="center" wrapText="0"/>
    </xf>
    <xf borderId="8" fillId="5" fontId="4" numFmtId="4" xfId="0" applyAlignment="1" applyBorder="1" applyFont="1" applyNumberFormat="1">
      <alignment horizontal="right" shrinkToFit="0" vertical="center" wrapText="0"/>
    </xf>
    <xf borderId="8" fillId="7" fontId="4" numFmtId="4" xfId="0" applyAlignment="1" applyBorder="1" applyFont="1" applyNumberFormat="1">
      <alignment horizontal="right" shrinkToFit="0" vertical="center" wrapText="0"/>
    </xf>
    <xf borderId="0" fillId="0" fontId="3" numFmtId="167" xfId="0" applyAlignment="1" applyFont="1" applyNumberFormat="1">
      <alignment shrinkToFit="0" vertical="bottom" wrapText="0"/>
    </xf>
    <xf borderId="12" fillId="0" fontId="13" numFmtId="0" xfId="0" applyAlignment="1" applyBorder="1" applyFont="1">
      <alignment horizontal="right" shrinkToFit="0" vertical="center" wrapText="0"/>
    </xf>
    <xf borderId="24" fillId="0" fontId="13" numFmtId="0" xfId="0" applyAlignment="1" applyBorder="1" applyFont="1">
      <alignment horizontal="right" shrinkToFit="0" vertical="center" wrapText="0"/>
    </xf>
    <xf borderId="8" fillId="5" fontId="4" numFmtId="0" xfId="0" applyAlignment="1" applyBorder="1" applyFont="1">
      <alignment horizontal="left" shrinkToFit="0" vertical="center" wrapText="0"/>
    </xf>
    <xf borderId="6" fillId="0" fontId="14" numFmtId="0" xfId="0" applyAlignment="1" applyBorder="1" applyFont="1">
      <alignment shrinkToFit="0" vertical="center" wrapText="0"/>
    </xf>
    <xf borderId="6" fillId="0" fontId="14" numFmtId="4" xfId="0" applyAlignment="1" applyBorder="1" applyFont="1" applyNumberFormat="1">
      <alignment horizontal="right" shrinkToFit="0" vertical="center" wrapText="0"/>
    </xf>
    <xf borderId="6" fillId="0" fontId="13" numFmtId="0" xfId="0" applyAlignment="1" applyBorder="1" applyFont="1">
      <alignment shrinkToFit="0" vertical="center" wrapText="0"/>
    </xf>
    <xf borderId="8" fillId="8" fontId="4" numFmtId="4" xfId="0" applyAlignment="1" applyBorder="1" applyFill="1" applyFont="1" applyNumberFormat="1">
      <alignment horizontal="right" shrinkToFit="0" vertical="center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horizontal="left"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28" fillId="0" fontId="1" numFmtId="165" xfId="0" applyAlignment="1" applyBorder="1" applyFont="1" applyNumberFormat="1">
      <alignment horizontal="right" shrinkToFit="0" vertical="bottom" wrapText="0"/>
    </xf>
    <xf borderId="29" fillId="0" fontId="1" numFmtId="165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1676400</xdr:colOff>
      <xdr:row>39</xdr:row>
      <xdr:rowOff>76200</xdr:rowOff>
    </xdr:from>
    <xdr:ext cx="457200" cy="47625"/>
    <xdr:sp>
      <xdr:nvSpPr>
        <xdr:cNvPr id="3" name="Shape 3"/>
        <xdr:cNvSpPr/>
      </xdr:nvSpPr>
      <xdr:spPr>
        <a:xfrm>
          <a:off x="5117400" y="3760950"/>
          <a:ext cx="457200" cy="38100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close/>
            </a:path>
          </a:pathLst>
        </a:custGeom>
        <a:solidFill>
          <a:srgbClr val="4472C4"/>
        </a:solidFill>
        <a:ln>
          <a:noFill/>
        </a:ln>
      </xdr:spPr>
    </xdr:sp>
    <xdr:clientData fLocksWithSheet="0"/>
  </xdr:oneCellAnchor>
  <xdr:oneCellAnchor>
    <xdr:from>
      <xdr:col>0</xdr:col>
      <xdr:colOff>1676400</xdr:colOff>
      <xdr:row>40</xdr:row>
      <xdr:rowOff>66675</xdr:rowOff>
    </xdr:from>
    <xdr:ext cx="457200" cy="47625"/>
    <xdr:sp>
      <xdr:nvSpPr>
        <xdr:cNvPr id="4" name="Shape 4"/>
        <xdr:cNvSpPr/>
      </xdr:nvSpPr>
      <xdr:spPr>
        <a:xfrm>
          <a:off x="5117400" y="3760950"/>
          <a:ext cx="457200" cy="38100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close/>
            </a:path>
          </a:pathLst>
        </a:custGeom>
        <a:solidFill>
          <a:srgbClr val="ED7D31"/>
        </a:solidFill>
        <a:ln>
          <a:noFill/>
        </a:ln>
      </xdr:spPr>
    </xdr:sp>
    <xdr:clientData fLocksWithSheet="0"/>
  </xdr:oneCellAnchor>
  <xdr:oneCellAnchor>
    <xdr:from>
      <xdr:col>0</xdr:col>
      <xdr:colOff>1676400</xdr:colOff>
      <xdr:row>39</xdr:row>
      <xdr:rowOff>76200</xdr:rowOff>
    </xdr:from>
    <xdr:ext cx="457200" cy="47625"/>
    <xdr:sp>
      <xdr:nvSpPr>
        <xdr:cNvPr id="3" name="Shape 3"/>
        <xdr:cNvSpPr/>
      </xdr:nvSpPr>
      <xdr:spPr>
        <a:xfrm>
          <a:off x="5117400" y="3760950"/>
          <a:ext cx="457200" cy="38100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close/>
            </a:path>
          </a:pathLst>
        </a:custGeom>
        <a:solidFill>
          <a:srgbClr val="4472C4"/>
        </a:solidFill>
        <a:ln>
          <a:noFill/>
        </a:ln>
      </xdr:spPr>
    </xdr:sp>
    <xdr:clientData fLocksWithSheet="0"/>
  </xdr:oneCellAnchor>
  <xdr:oneCellAnchor>
    <xdr:from>
      <xdr:col>0</xdr:col>
      <xdr:colOff>1676400</xdr:colOff>
      <xdr:row>40</xdr:row>
      <xdr:rowOff>66675</xdr:rowOff>
    </xdr:from>
    <xdr:ext cx="457200" cy="47625"/>
    <xdr:sp>
      <xdr:nvSpPr>
        <xdr:cNvPr id="4" name="Shape 4"/>
        <xdr:cNvSpPr/>
      </xdr:nvSpPr>
      <xdr:spPr>
        <a:xfrm>
          <a:off x="5117400" y="3760950"/>
          <a:ext cx="457200" cy="38100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close/>
            </a:path>
          </a:pathLst>
        </a:custGeom>
        <a:solidFill>
          <a:srgbClr val="ED7D31"/>
        </a:solidFill>
        <a:ln>
          <a:noFill/>
        </a:ln>
      </xdr:spPr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8.57"/>
    <col customWidth="1" min="3" max="4" width="17.57"/>
    <col customWidth="1" min="5" max="7" width="10.86"/>
    <col customWidth="1" min="8" max="8" width="34.71"/>
    <col customWidth="1" min="9" max="9" width="21.57"/>
    <col customWidth="1" min="10" max="10" width="11.0"/>
    <col customWidth="1" min="11" max="11" width="1.86"/>
    <col customWidth="1" min="12" max="12" width="47.14"/>
    <col customWidth="1" min="13" max="13" width="23.43"/>
    <col customWidth="1" min="14" max="14" width="13.86"/>
    <col customWidth="1" min="15" max="15" width="10.86"/>
    <col customWidth="1" min="16" max="26" width="8.71"/>
  </cols>
  <sheetData>
    <row r="1">
      <c r="A1" s="1" t="s">
        <v>0</v>
      </c>
      <c r="B1" s="2" t="s">
        <v>1</v>
      </c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1" t="s">
        <v>2</v>
      </c>
      <c r="C2" s="1"/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3</v>
      </c>
      <c r="B3" s="7" t="s">
        <v>4</v>
      </c>
      <c r="C3" s="7" t="s">
        <v>5</v>
      </c>
      <c r="D3" s="7" t="s">
        <v>6</v>
      </c>
      <c r="E3" s="3"/>
      <c r="F3" s="3"/>
      <c r="G3" s="3"/>
      <c r="H3" s="3"/>
      <c r="I3" s="8"/>
      <c r="J3" s="3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7</v>
      </c>
      <c r="B4" s="10"/>
      <c r="C4" s="10"/>
      <c r="D4" s="1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" t="s">
        <v>8</v>
      </c>
      <c r="B5" s="13"/>
      <c r="C5" s="13"/>
      <c r="D5" s="1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" t="s">
        <v>9</v>
      </c>
      <c r="B6" s="15">
        <v>790800.0</v>
      </c>
      <c r="C6" s="15">
        <v>566800.0</v>
      </c>
      <c r="D6" s="16">
        <f>B6-C6</f>
        <v>224000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7" t="s">
        <v>10</v>
      </c>
      <c r="B7" s="18">
        <f t="shared" ref="B7:D7" si="1">SUM(B8:B11)</f>
        <v>81711786</v>
      </c>
      <c r="C7" s="18">
        <f t="shared" si="1"/>
        <v>39512791</v>
      </c>
      <c r="D7" s="19">
        <f t="shared" si="1"/>
        <v>42198995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0" t="s">
        <v>11</v>
      </c>
      <c r="B8" s="21"/>
      <c r="C8" s="22"/>
      <c r="D8" s="23"/>
      <c r="E8" s="3"/>
      <c r="F8" s="3"/>
      <c r="G8" s="3"/>
      <c r="H8" s="3"/>
      <c r="I8" s="3"/>
      <c r="J8" s="3"/>
      <c r="K8" s="3"/>
      <c r="L8" s="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0" t="s">
        <v>12</v>
      </c>
      <c r="B9" s="21">
        <v>0.0</v>
      </c>
      <c r="C9" s="21">
        <v>0.0</v>
      </c>
      <c r="D9" s="24"/>
      <c r="E9" s="3"/>
      <c r="F9" s="3"/>
      <c r="G9" s="3"/>
      <c r="H9" s="3"/>
      <c r="I9" s="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5" t="s">
        <v>13</v>
      </c>
      <c r="B10" s="26">
        <v>8.1711786E7</v>
      </c>
      <c r="C10" s="26">
        <v>3.9512791E7</v>
      </c>
      <c r="D10" s="27">
        <f>B10-C10</f>
        <v>42198995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8" t="s">
        <v>14</v>
      </c>
      <c r="B11" s="26"/>
      <c r="C11" s="26">
        <v>0.0</v>
      </c>
      <c r="D11" s="2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9" t="s">
        <v>15</v>
      </c>
      <c r="B12" s="30"/>
      <c r="C12" s="30"/>
      <c r="D12" s="31"/>
      <c r="E12" s="3"/>
      <c r="F12" s="3"/>
      <c r="G12" s="3"/>
      <c r="H12" s="3"/>
      <c r="I12" s="3"/>
      <c r="J12" s="3"/>
      <c r="K12" s="3"/>
      <c r="L12" s="3"/>
      <c r="M12" s="3"/>
      <c r="N12" s="3"/>
      <c r="O12" s="3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 t="s">
        <v>16</v>
      </c>
      <c r="B13" s="33">
        <f t="shared" ref="B13:D13" si="2">SUM(B14:B17)</f>
        <v>1326600</v>
      </c>
      <c r="C13" s="33">
        <f t="shared" si="2"/>
        <v>0</v>
      </c>
      <c r="D13" s="33">
        <f t="shared" si="2"/>
        <v>1326600</v>
      </c>
      <c r="E13" s="3"/>
      <c r="F13" s="3"/>
      <c r="G13" s="3"/>
      <c r="H13" s="3"/>
      <c r="I13" s="3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0" t="s">
        <v>17</v>
      </c>
      <c r="B14" s="26">
        <v>0.0</v>
      </c>
      <c r="C14" s="26">
        <v>0.0</v>
      </c>
      <c r="D14" s="27">
        <f t="shared" ref="D14:D18" si="3">B14-C14</f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0" t="s">
        <v>18</v>
      </c>
      <c r="B15" s="35">
        <v>0.0</v>
      </c>
      <c r="C15" s="35">
        <v>0.0</v>
      </c>
      <c r="D15" s="27">
        <f t="shared" si="3"/>
        <v>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4" t="s">
        <v>19</v>
      </c>
      <c r="B16" s="26">
        <v>0.0</v>
      </c>
      <c r="C16" s="26">
        <v>0.0</v>
      </c>
      <c r="D16" s="27">
        <f t="shared" si="3"/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8" t="s">
        <v>20</v>
      </c>
      <c r="B17" s="26">
        <v>1326600.0</v>
      </c>
      <c r="C17" s="26">
        <v>0.0</v>
      </c>
      <c r="D17" s="27">
        <f t="shared" si="3"/>
        <v>1326600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9" t="s">
        <v>21</v>
      </c>
      <c r="B18" s="30">
        <v>5900437.0</v>
      </c>
      <c r="C18" s="30"/>
      <c r="D18" s="31">
        <f t="shared" si="3"/>
        <v>5900437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6" t="s">
        <v>22</v>
      </c>
      <c r="B19" s="37">
        <v>8.9729624E7</v>
      </c>
      <c r="C19" s="37">
        <f>C5+C6+C7+C12+C13+C18</f>
        <v>40079591</v>
      </c>
      <c r="D19" s="19">
        <f>D6+D7+D12+D13+D18</f>
        <v>49650032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8" t="s">
        <v>23</v>
      </c>
      <c r="B20" s="39"/>
      <c r="C20" s="39"/>
      <c r="D20" s="4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8" t="s">
        <v>24</v>
      </c>
      <c r="B21" s="35">
        <v>2873630.0</v>
      </c>
      <c r="C21" s="35">
        <v>0.0</v>
      </c>
      <c r="D21" s="41">
        <f>B21-C21</f>
        <v>2873630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7" t="s">
        <v>25</v>
      </c>
      <c r="B22" s="18">
        <f t="shared" ref="B22:D22" si="4">B23+B24+B25+B26</f>
        <v>229217850</v>
      </c>
      <c r="C22" s="18">
        <f t="shared" si="4"/>
        <v>91095376</v>
      </c>
      <c r="D22" s="18">
        <f t="shared" si="4"/>
        <v>138122474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0" t="s">
        <v>26</v>
      </c>
      <c r="B23" s="26">
        <v>2.0650427E8</v>
      </c>
      <c r="C23" s="26">
        <v>9.1095376E7</v>
      </c>
      <c r="D23" s="27">
        <f t="shared" ref="D23:D27" si="5">B23-C23</f>
        <v>115408894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0" t="s">
        <v>27</v>
      </c>
      <c r="B24" s="26">
        <v>3582159.0</v>
      </c>
      <c r="C24" s="26">
        <v>0.0</v>
      </c>
      <c r="D24" s="27">
        <f t="shared" si="5"/>
        <v>3582159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0" t="s">
        <v>28</v>
      </c>
      <c r="B25" s="26">
        <v>1.9131421E7</v>
      </c>
      <c r="C25" s="26">
        <v>0.0</v>
      </c>
      <c r="D25" s="27">
        <f t="shared" si="5"/>
        <v>19131421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5" t="s">
        <v>29</v>
      </c>
      <c r="B26" s="26">
        <v>0.0</v>
      </c>
      <c r="C26" s="26">
        <v>0.0</v>
      </c>
      <c r="D26" s="27">
        <f t="shared" si="5"/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30</v>
      </c>
      <c r="B27" s="42">
        <f t="shared" ref="B27:C27" si="6">B29+B28</f>
        <v>59095935</v>
      </c>
      <c r="C27" s="42">
        <f t="shared" si="6"/>
        <v>0</v>
      </c>
      <c r="D27" s="43">
        <f t="shared" si="5"/>
        <v>59095935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44" t="s">
        <v>31</v>
      </c>
      <c r="B28" s="26"/>
      <c r="C28" s="26"/>
      <c r="D28" s="2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8" t="s">
        <v>32</v>
      </c>
      <c r="B29" s="26">
        <v>5.9095935E7</v>
      </c>
      <c r="C29" s="26">
        <v>0.0</v>
      </c>
      <c r="D29" s="27">
        <f t="shared" ref="D29:D30" si="7">B29-C29</f>
        <v>59095935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7" t="s">
        <v>33</v>
      </c>
      <c r="B30" s="33">
        <v>2.91187417E8</v>
      </c>
      <c r="C30" s="33">
        <f>C21+C22+C27</f>
        <v>91095376</v>
      </c>
      <c r="D30" s="19">
        <f t="shared" si="7"/>
        <v>200092041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7" t="s">
        <v>34</v>
      </c>
      <c r="B31" s="42">
        <v>3.80917042E8</v>
      </c>
      <c r="C31" s="42">
        <f>C19+C30</f>
        <v>131174967</v>
      </c>
      <c r="D31" s="43">
        <v>2.49742074E8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3" footer="0.0" header="0.0" left="0.7" right="0.7" top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14"/>
    <col customWidth="1" min="2" max="2" width="21.57"/>
    <col customWidth="1" min="3" max="6" width="10.86"/>
    <col customWidth="1" min="7" max="26" width="8.71"/>
  </cols>
  <sheetData>
    <row r="1">
      <c r="A1" s="1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1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5" t="s">
        <v>3</v>
      </c>
      <c r="B3" s="46" t="s">
        <v>36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7" t="s">
        <v>37</v>
      </c>
      <c r="B4" s="4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9" t="s">
        <v>38</v>
      </c>
      <c r="B5" s="50">
        <v>2.46E7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9" t="s">
        <v>39</v>
      </c>
      <c r="B6" s="5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9" t="s">
        <v>40</v>
      </c>
      <c r="B7" s="50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9" t="s">
        <v>41</v>
      </c>
      <c r="B8" s="50">
        <v>2.7719907E7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9" t="s">
        <v>42</v>
      </c>
      <c r="B9" s="50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9" t="s">
        <v>43</v>
      </c>
      <c r="B10" s="5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9" t="s">
        <v>44</v>
      </c>
      <c r="B11" s="50" t="str">
        <f>[2]TCR!B34</f>
        <v>#ERROR!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9" t="s">
        <v>45</v>
      </c>
      <c r="B12" s="50">
        <v>7.4826989E7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2" t="s">
        <v>46</v>
      </c>
      <c r="B13" s="5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2" t="s">
        <v>47</v>
      </c>
      <c r="B14" s="5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2" t="s">
        <v>48</v>
      </c>
      <c r="B15" s="5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7" t="s">
        <v>49</v>
      </c>
      <c r="B16" s="19" t="str">
        <f>SUM(B5:B15)</f>
        <v>#ERROR!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7" t="s">
        <v>50</v>
      </c>
      <c r="B17" s="5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9" t="s">
        <v>51</v>
      </c>
      <c r="B18" s="50">
        <v>0.0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9" t="s">
        <v>52</v>
      </c>
      <c r="B19" s="50">
        <v>0.0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6" t="s">
        <v>53</v>
      </c>
      <c r="B20" s="50">
        <v>0.0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2" t="s">
        <v>54</v>
      </c>
      <c r="B21" s="50">
        <v>4085732.0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7" t="s">
        <v>55</v>
      </c>
      <c r="B22" s="19">
        <f>SUM(B18:B21)</f>
        <v>4085732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7" t="s">
        <v>56</v>
      </c>
      <c r="B23" s="5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6" t="s">
        <v>57</v>
      </c>
      <c r="B24" s="50">
        <v>8741154.0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6" t="s">
        <v>58</v>
      </c>
      <c r="B25" s="50">
        <v>5.0109882E7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9" t="s">
        <v>59</v>
      </c>
      <c r="B26" s="50">
        <v>3.6877639E7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9" t="s">
        <v>60</v>
      </c>
      <c r="B27" s="5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9" t="s">
        <v>61</v>
      </c>
      <c r="B28" s="42">
        <v>9.5728676E7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0" t="s">
        <v>62</v>
      </c>
      <c r="B29" s="42">
        <v>2.49742074E8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63</v>
      </c>
      <c r="B30" s="3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4"/>
      <c r="B33" s="34">
        <f>B29-Bilan_financier!C38</f>
        <v>-131174966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3" footer="0.0" header="0.0" left="0.7" right="0.7" top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86"/>
    <col customWidth="1" min="3" max="3" width="11.29"/>
    <col customWidth="1" min="4" max="8" width="10.86"/>
    <col customWidth="1" min="9" max="9" width="13.0"/>
    <col customWidth="1" min="10" max="10" width="13.43"/>
    <col customWidth="1" min="11" max="11" width="10.86"/>
    <col customWidth="1" min="12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61" t="s">
        <v>64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62" t="s">
        <v>65</v>
      </c>
      <c r="C6" s="63"/>
      <c r="D6" s="64" t="s">
        <v>66</v>
      </c>
      <c r="E6" s="65"/>
      <c r="F6" s="65"/>
      <c r="G6" s="65"/>
      <c r="H6" s="66"/>
      <c r="I6" s="62" t="s">
        <v>67</v>
      </c>
      <c r="J6" s="6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67" t="s">
        <v>68</v>
      </c>
      <c r="C7" s="67" t="s">
        <v>69</v>
      </c>
      <c r="D7" s="68"/>
      <c r="E7" s="69"/>
      <c r="F7" s="69"/>
      <c r="G7" s="69"/>
      <c r="H7" s="70"/>
      <c r="I7" s="67" t="s">
        <v>68</v>
      </c>
      <c r="J7" s="71" t="s">
        <v>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72">
        <v>28.0</v>
      </c>
      <c r="C8" s="73"/>
      <c r="D8" s="74" t="s">
        <v>70</v>
      </c>
      <c r="E8" s="65"/>
      <c r="F8" s="65"/>
      <c r="G8" s="65"/>
      <c r="H8" s="66"/>
      <c r="I8" s="75">
        <f>ACTIF!C6</f>
        <v>566800</v>
      </c>
      <c r="J8" s="7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77"/>
      <c r="C9" s="78">
        <v>116.0</v>
      </c>
      <c r="D9" s="79" t="s">
        <v>70</v>
      </c>
      <c r="E9" s="69"/>
      <c r="F9" s="69"/>
      <c r="G9" s="69"/>
      <c r="H9" s="70"/>
      <c r="I9" s="80"/>
      <c r="J9" s="81">
        <f>ACTIF!C6</f>
        <v>566800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72">
        <v>28.0</v>
      </c>
      <c r="C10" s="73"/>
      <c r="D10" s="74" t="s">
        <v>71</v>
      </c>
      <c r="E10" s="65"/>
      <c r="F10" s="65"/>
      <c r="G10" s="65"/>
      <c r="H10" s="66"/>
      <c r="I10" s="75">
        <f>ACTIF!C7</f>
        <v>39512791</v>
      </c>
      <c r="J10" s="7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77"/>
      <c r="C11" s="78">
        <v>116.0</v>
      </c>
      <c r="D11" s="79" t="s">
        <v>71</v>
      </c>
      <c r="E11" s="69"/>
      <c r="F11" s="69"/>
      <c r="G11" s="69"/>
      <c r="H11" s="70"/>
      <c r="I11" s="80"/>
      <c r="J11" s="81">
        <f>ACTIF!C7</f>
        <v>39512791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72">
        <v>48.0</v>
      </c>
      <c r="C12" s="73"/>
      <c r="D12" s="74" t="s">
        <v>72</v>
      </c>
      <c r="E12" s="65"/>
      <c r="F12" s="65"/>
      <c r="G12" s="65"/>
      <c r="H12" s="66"/>
      <c r="I12" s="75">
        <f>+ACTIF!C22</f>
        <v>91095376</v>
      </c>
      <c r="J12" s="7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77"/>
      <c r="C13" s="78">
        <v>116.0</v>
      </c>
      <c r="D13" s="79" t="s">
        <v>72</v>
      </c>
      <c r="E13" s="69"/>
      <c r="F13" s="69"/>
      <c r="G13" s="69"/>
      <c r="H13" s="70"/>
      <c r="I13" s="82"/>
      <c r="J13" s="81">
        <f>+ACTIF!C22</f>
        <v>91095376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72">
        <v>39.0</v>
      </c>
      <c r="C14" s="73"/>
      <c r="D14" s="74" t="s">
        <v>73</v>
      </c>
      <c r="E14" s="65"/>
      <c r="F14" s="65"/>
      <c r="G14" s="65"/>
      <c r="H14" s="66"/>
      <c r="I14" s="83">
        <f>+ACTIF!C21</f>
        <v>0</v>
      </c>
      <c r="J14" s="8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77"/>
      <c r="C15" s="78">
        <v>116.0</v>
      </c>
      <c r="D15" s="79" t="s">
        <v>74</v>
      </c>
      <c r="E15" s="69"/>
      <c r="F15" s="69"/>
      <c r="G15" s="69"/>
      <c r="H15" s="70"/>
      <c r="I15" s="3"/>
      <c r="J15" s="85">
        <f>+ACTIF!C21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74"/>
      <c r="C16" s="84"/>
      <c r="D16" s="86" t="s">
        <v>75</v>
      </c>
      <c r="E16" s="65"/>
      <c r="F16" s="65"/>
      <c r="G16" s="65"/>
      <c r="H16" s="66"/>
      <c r="I16" s="75">
        <f>ACTIF!C24+ACTIF!C25+ACTIF!C26</f>
        <v>0</v>
      </c>
      <c r="J16" s="7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79"/>
      <c r="C17" s="80"/>
      <c r="D17" s="87" t="s">
        <v>75</v>
      </c>
      <c r="E17" s="69"/>
      <c r="F17" s="69"/>
      <c r="G17" s="69"/>
      <c r="H17" s="70"/>
      <c r="I17" s="80"/>
      <c r="J17" s="81">
        <f>+ACTIF!C24+ACTIF!C25+ACTIF!C26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84"/>
      <c r="C18" s="84"/>
      <c r="D18" s="72"/>
      <c r="E18" s="65"/>
      <c r="F18" s="65"/>
      <c r="G18" s="65"/>
      <c r="H18" s="66"/>
      <c r="I18" s="84"/>
      <c r="J18" s="7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80"/>
      <c r="C19" s="80"/>
      <c r="D19" s="77"/>
      <c r="E19" s="69"/>
      <c r="F19" s="69"/>
      <c r="G19" s="69"/>
      <c r="H19" s="70"/>
      <c r="I19" s="80"/>
      <c r="J19" s="8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84"/>
      <c r="C20" s="84"/>
      <c r="D20" s="72"/>
      <c r="E20" s="65"/>
      <c r="F20" s="65"/>
      <c r="G20" s="65"/>
      <c r="H20" s="66"/>
      <c r="I20" s="84"/>
      <c r="J20" s="8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80"/>
      <c r="C21" s="80"/>
      <c r="D21" s="77"/>
      <c r="E21" s="69"/>
      <c r="F21" s="69"/>
      <c r="G21" s="69"/>
      <c r="H21" s="70"/>
      <c r="I21" s="80"/>
      <c r="J21" s="8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84"/>
      <c r="C22" s="84"/>
      <c r="D22" s="72"/>
      <c r="E22" s="65"/>
      <c r="F22" s="65"/>
      <c r="G22" s="65"/>
      <c r="H22" s="66"/>
      <c r="I22" s="84"/>
      <c r="J22" s="8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80"/>
      <c r="C23" s="80"/>
      <c r="D23" s="77"/>
      <c r="E23" s="69"/>
      <c r="F23" s="69"/>
      <c r="G23" s="69"/>
      <c r="H23" s="70"/>
      <c r="I23" s="80"/>
      <c r="J23" s="8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89" t="s">
        <v>76</v>
      </c>
      <c r="C24" s="90"/>
      <c r="D24" s="90"/>
      <c r="E24" s="90"/>
      <c r="F24" s="90"/>
      <c r="G24" s="90"/>
      <c r="H24" s="63"/>
      <c r="I24" s="91">
        <f t="shared" ref="I24:J24" si="1">SUM(I8:I23)</f>
        <v>131174967</v>
      </c>
      <c r="J24" s="92">
        <f t="shared" si="1"/>
        <v>131174967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61" t="s">
        <v>77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89" t="s">
        <v>78</v>
      </c>
      <c r="C29" s="90"/>
      <c r="D29" s="90"/>
      <c r="E29" s="63"/>
      <c r="F29" s="89" t="s">
        <v>79</v>
      </c>
      <c r="G29" s="63"/>
      <c r="H29" s="89" t="s">
        <v>80</v>
      </c>
      <c r="I29" s="63"/>
      <c r="J29" s="89" t="s">
        <v>81</v>
      </c>
      <c r="K29" s="6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93" t="s">
        <v>57</v>
      </c>
      <c r="C30" s="65"/>
      <c r="D30" s="65"/>
      <c r="E30" s="66"/>
      <c r="F30" s="94">
        <f>PASSIF!B24</f>
        <v>8741154</v>
      </c>
      <c r="G30" s="66"/>
      <c r="H30" s="94">
        <v>3541000.0</v>
      </c>
      <c r="I30" s="66"/>
      <c r="J30" s="94">
        <f t="shared" ref="J30:J32" si="2">+F30-H30</f>
        <v>5200154</v>
      </c>
      <c r="K30" s="6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95" t="s">
        <v>58</v>
      </c>
      <c r="E31" s="96"/>
      <c r="F31" s="97">
        <f>PASSIF!B25</f>
        <v>50109882</v>
      </c>
      <c r="G31" s="96"/>
      <c r="H31" s="97">
        <v>2.5E7</v>
      </c>
      <c r="I31" s="96"/>
      <c r="J31" s="97">
        <f t="shared" si="2"/>
        <v>25109882</v>
      </c>
      <c r="K31" s="9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98" t="s">
        <v>59</v>
      </c>
      <c r="C32" s="69"/>
      <c r="D32" s="69"/>
      <c r="E32" s="70"/>
      <c r="F32" s="99">
        <f>PASSIF!B26</f>
        <v>36877639</v>
      </c>
      <c r="G32" s="70"/>
      <c r="H32" s="99">
        <v>1.65E7</v>
      </c>
      <c r="I32" s="70"/>
      <c r="J32" s="100">
        <f t="shared" si="2"/>
        <v>20377639</v>
      </c>
      <c r="K32" s="7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89"/>
      <c r="C33" s="90"/>
      <c r="D33" s="90"/>
      <c r="E33" s="63"/>
      <c r="F33" s="101">
        <f>SUM(F30:F32)</f>
        <v>95728675</v>
      </c>
      <c r="G33" s="63"/>
      <c r="H33" s="101">
        <f>SUM(H30:H32)</f>
        <v>45041000</v>
      </c>
      <c r="I33" s="63"/>
      <c r="J33" s="101">
        <f>SUM(J30:J32)</f>
        <v>50687675</v>
      </c>
      <c r="K33" s="6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2">
    <mergeCell ref="B3:E3"/>
    <mergeCell ref="B6:C6"/>
    <mergeCell ref="D6:H7"/>
    <mergeCell ref="I6:J6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B24:H24"/>
    <mergeCell ref="H30:I30"/>
    <mergeCell ref="J30:K30"/>
    <mergeCell ref="B27:D27"/>
    <mergeCell ref="B29:E29"/>
    <mergeCell ref="F29:G29"/>
    <mergeCell ref="H29:I29"/>
    <mergeCell ref="J29:K29"/>
    <mergeCell ref="B30:E30"/>
    <mergeCell ref="F30:G30"/>
    <mergeCell ref="B32:E32"/>
    <mergeCell ref="B33:E33"/>
    <mergeCell ref="F33:G33"/>
    <mergeCell ref="H33:I33"/>
    <mergeCell ref="J33:K33"/>
    <mergeCell ref="B31:E31"/>
    <mergeCell ref="F31:G31"/>
    <mergeCell ref="H31:I31"/>
    <mergeCell ref="J31:K31"/>
    <mergeCell ref="F32:G32"/>
    <mergeCell ref="H32:I32"/>
    <mergeCell ref="J32:K32"/>
  </mergeCells>
  <printOptions/>
  <pageMargins bottom="0.3" footer="0.0" header="0.0" left="0.7" right="0.7" top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9.86"/>
    <col customWidth="1" min="3" max="3" width="16.29"/>
    <col customWidth="1" min="4" max="4" width="6.43"/>
    <col customWidth="1" min="5" max="5" width="13.57"/>
    <col customWidth="1" min="6" max="6" width="15.57"/>
    <col customWidth="1" min="7" max="7" width="7.0"/>
    <col customWidth="1" min="8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0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10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04" t="s">
        <v>82</v>
      </c>
      <c r="D5" s="3"/>
      <c r="E5" s="3"/>
      <c r="F5" s="10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03"/>
      <c r="D6" s="3"/>
      <c r="E6" s="3"/>
      <c r="F6" s="105"/>
      <c r="G6" s="10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107" t="s">
        <v>83</v>
      </c>
      <c r="C7" s="108" t="s">
        <v>84</v>
      </c>
      <c r="D7" s="107" t="s">
        <v>85</v>
      </c>
      <c r="E7" s="3"/>
      <c r="F7" s="109"/>
      <c r="G7" s="11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hidden="1" customHeight="1">
      <c r="A8" s="3"/>
      <c r="B8" s="3"/>
      <c r="C8" s="103"/>
      <c r="D8" s="3"/>
      <c r="E8" s="3"/>
      <c r="F8" s="111" t="s">
        <v>86</v>
      </c>
      <c r="G8" s="103" t="str">
        <f>+PASSIF.#REF!+Journal_retraitement.#REF!+Journal_retraitement.#REF!+Journal_retraitement.#REF!+Journal_retraitement.#REF!+Journal_retraitement.#REF!</f>
        <v>#ERROR!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hidden="1" customHeight="1">
      <c r="A9" s="3"/>
      <c r="B9" s="3"/>
      <c r="C9" s="103"/>
      <c r="D9" s="3"/>
      <c r="E9" s="3"/>
      <c r="F9" s="111" t="s">
        <v>38</v>
      </c>
      <c r="G9" s="103">
        <v>3.5448E8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hidden="1" customHeight="1">
      <c r="A10" s="3"/>
      <c r="B10" s="112" t="s">
        <v>7</v>
      </c>
      <c r="C10" s="103"/>
      <c r="D10" s="3"/>
      <c r="E10" s="3"/>
      <c r="F10" s="111" t="s">
        <v>39</v>
      </c>
      <c r="G10" s="10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hidden="1" customHeight="1">
      <c r="A11" s="3"/>
      <c r="B11" s="112" t="s">
        <v>87</v>
      </c>
      <c r="C11" s="103"/>
      <c r="D11" s="3"/>
      <c r="E11" s="3"/>
      <c r="F11" s="111" t="s">
        <v>88</v>
      </c>
      <c r="G11" s="103">
        <v>2575000.0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hidden="1" customHeight="1">
      <c r="A12" s="3"/>
      <c r="B12" s="112" t="s">
        <v>9</v>
      </c>
      <c r="C12" s="103">
        <v>67810.35</v>
      </c>
      <c r="D12" s="3"/>
      <c r="E12" s="3"/>
      <c r="F12" s="111" t="s">
        <v>89</v>
      </c>
      <c r="G12" s="10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hidden="1" customHeight="1">
      <c r="A13" s="3"/>
      <c r="B13" s="112" t="s">
        <v>90</v>
      </c>
      <c r="C13" s="103"/>
      <c r="D13" s="3"/>
      <c r="E13" s="3"/>
      <c r="F13" s="111" t="s">
        <v>91</v>
      </c>
      <c r="G13" s="10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hidden="1" customHeight="1">
      <c r="A14" s="3"/>
      <c r="B14" s="3" t="s">
        <v>92</v>
      </c>
      <c r="C14" s="103"/>
      <c r="D14" s="3"/>
      <c r="E14" s="3"/>
      <c r="F14" s="111" t="s">
        <v>93</v>
      </c>
      <c r="G14" s="103">
        <v>-1.5434408848E8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hidden="1" customHeight="1">
      <c r="A15" s="3"/>
      <c r="B15" s="3" t="s">
        <v>94</v>
      </c>
      <c r="C15" s="103">
        <v>3232649.99</v>
      </c>
      <c r="D15" s="3"/>
      <c r="E15" s="3"/>
      <c r="F15" s="111" t="s">
        <v>95</v>
      </c>
      <c r="G15" s="103">
        <v>-4.3876674721E8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hidden="1" customHeight="1">
      <c r="A16" s="3"/>
      <c r="B16" s="3" t="s">
        <v>96</v>
      </c>
      <c r="C16" s="103">
        <v>1.183319049E7</v>
      </c>
      <c r="D16" s="103"/>
      <c r="E16" s="3"/>
      <c r="F16" s="111" t="s">
        <v>97</v>
      </c>
      <c r="G16" s="10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hidden="1" customHeight="1">
      <c r="A17" s="3"/>
      <c r="B17" s="3" t="s">
        <v>98</v>
      </c>
      <c r="C17" s="103"/>
      <c r="D17" s="3"/>
      <c r="E17" s="3"/>
      <c r="F17" s="111" t="s">
        <v>99</v>
      </c>
      <c r="G17" s="10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hidden="1" customHeight="1">
      <c r="A18" s="3"/>
      <c r="B18" s="112" t="s">
        <v>100</v>
      </c>
      <c r="C18" s="103">
        <v>1.059150488E7</v>
      </c>
      <c r="D18" s="3"/>
      <c r="E18" s="3"/>
      <c r="F18" s="111" t="s">
        <v>101</v>
      </c>
      <c r="G18" s="113">
        <f>SUM(G9:G15)</f>
        <v>-236055835.7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hidden="1" customHeight="1">
      <c r="A19" s="3"/>
      <c r="B19" s="112" t="s">
        <v>16</v>
      </c>
      <c r="C19" s="103"/>
      <c r="D19" s="3"/>
      <c r="E19" s="3"/>
      <c r="F19" s="111" t="s">
        <v>102</v>
      </c>
      <c r="G19" s="103" t="str">
        <f>+PASSIF.#REF!+Journal_retraitement.#REF!+Journal_retraitement.#REF!+Journal_retraitement.#REF!</f>
        <v>#ERROR!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hidden="1" customHeight="1">
      <c r="A20" s="3"/>
      <c r="B20" s="3" t="s">
        <v>103</v>
      </c>
      <c r="C20" s="103"/>
      <c r="D20" s="3"/>
      <c r="E20" s="3"/>
      <c r="F20" s="111" t="s">
        <v>51</v>
      </c>
      <c r="G20" s="103">
        <v>9684114.82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hidden="1" customHeight="1">
      <c r="A21" s="3"/>
      <c r="B21" s="3" t="s">
        <v>104</v>
      </c>
      <c r="C21" s="103"/>
      <c r="D21" s="3"/>
      <c r="E21" s="3"/>
      <c r="F21" s="111" t="s">
        <v>52</v>
      </c>
      <c r="G21" s="10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hidden="1" customHeight="1">
      <c r="A22" s="3"/>
      <c r="B22" s="3" t="s">
        <v>105</v>
      </c>
      <c r="C22" s="103"/>
      <c r="D22" s="3"/>
      <c r="E22" s="3"/>
      <c r="F22" s="111" t="s">
        <v>53</v>
      </c>
      <c r="G22" s="10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hidden="1" customHeight="1">
      <c r="A23" s="3"/>
      <c r="B23" s="3" t="s">
        <v>106</v>
      </c>
      <c r="C23" s="103">
        <v>2.135E7</v>
      </c>
      <c r="D23" s="3"/>
      <c r="E23" s="3"/>
      <c r="F23" s="111" t="s">
        <v>107</v>
      </c>
      <c r="G23" s="103">
        <v>4.048656125E7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hidden="1" customHeight="1">
      <c r="A24" s="3"/>
      <c r="B24" s="3" t="s">
        <v>108</v>
      </c>
      <c r="C24" s="103">
        <v>4745165.24</v>
      </c>
      <c r="D24" s="3"/>
      <c r="E24" s="3"/>
      <c r="F24" s="111" t="s">
        <v>101</v>
      </c>
      <c r="G24" s="113">
        <f>SUM(G20:G23)</f>
        <v>50170676.07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111" t="s">
        <v>109</v>
      </c>
      <c r="C25" s="114">
        <f>+ACTIF!D19+Journal_retraitement!I8+Journal_retraitement!I10</f>
        <v>89729623</v>
      </c>
      <c r="D25" s="32">
        <f t="shared" ref="D25:D35" si="1">C25/C38</f>
        <v>0.2355621135</v>
      </c>
      <c r="E25" s="3"/>
      <c r="F25" s="111"/>
      <c r="G25" s="10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hidden="1" customHeight="1">
      <c r="A26" s="3"/>
      <c r="B26" s="111" t="s">
        <v>23</v>
      </c>
      <c r="C26" s="103"/>
      <c r="D26" s="32" t="str">
        <f t="shared" si="1"/>
        <v>#DIV/0!</v>
      </c>
      <c r="E26" s="3"/>
      <c r="F26" s="115" t="s">
        <v>57</v>
      </c>
      <c r="G26" s="103">
        <v>1.5960828461E8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hidden="1" customHeight="1">
      <c r="A27" s="3"/>
      <c r="B27" s="111" t="s">
        <v>24</v>
      </c>
      <c r="C27" s="103">
        <v>5.3558135949E8</v>
      </c>
      <c r="D27" s="32" t="str">
        <f t="shared" si="1"/>
        <v>#DIV/0!</v>
      </c>
      <c r="E27" s="3"/>
      <c r="F27" s="115" t="s">
        <v>58</v>
      </c>
      <c r="G27" s="103">
        <v>1.204238274E7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hidden="1" customHeight="1">
      <c r="A28" s="3"/>
      <c r="B28" s="111" t="s">
        <v>25</v>
      </c>
      <c r="C28" s="103"/>
      <c r="D28" s="32" t="str">
        <f t="shared" si="1"/>
        <v>#DIV/0!</v>
      </c>
      <c r="E28" s="3"/>
      <c r="F28" s="115" t="s">
        <v>59</v>
      </c>
      <c r="G28" s="103">
        <v>6.489704623E8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hidden="1" customHeight="1">
      <c r="A29" s="3"/>
      <c r="B29" s="3" t="s">
        <v>110</v>
      </c>
      <c r="C29" s="103">
        <v>9387054.03</v>
      </c>
      <c r="D29" s="32" t="str">
        <f t="shared" si="1"/>
        <v>#DIV/0!</v>
      </c>
      <c r="E29" s="3"/>
      <c r="F29" s="115" t="s">
        <v>60</v>
      </c>
      <c r="G29" s="10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hidden="1" customHeight="1">
      <c r="A30" s="3"/>
      <c r="B30" s="3" t="s">
        <v>111</v>
      </c>
      <c r="C30" s="103">
        <v>4172347.23</v>
      </c>
      <c r="D30" s="32" t="str">
        <f t="shared" si="1"/>
        <v>#VALUE!</v>
      </c>
      <c r="E30" s="3"/>
      <c r="F30" s="115" t="s">
        <v>101</v>
      </c>
      <c r="G30" s="116">
        <f>SUM(G26:G29)</f>
        <v>820621129.7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hidden="1" customHeight="1">
      <c r="A31" s="3"/>
      <c r="B31" s="3" t="s">
        <v>112</v>
      </c>
      <c r="C31" s="103">
        <v>2.890659405E7</v>
      </c>
      <c r="D31" s="32" t="str">
        <f t="shared" si="1"/>
        <v>#ERROR!</v>
      </c>
      <c r="E31" s="3"/>
      <c r="F31" s="107" t="s">
        <v>113</v>
      </c>
      <c r="G31" s="116" t="str">
        <f>+G8+G19+G25</f>
        <v>#ERROR!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hidden="1" customHeight="1">
      <c r="A32" s="3"/>
      <c r="B32" s="3" t="s">
        <v>114</v>
      </c>
      <c r="C32" s="103"/>
      <c r="D32" s="32">
        <f t="shared" si="1"/>
        <v>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hidden="1" customHeight="1">
      <c r="A33" s="3"/>
      <c r="B33" s="111" t="s">
        <v>30</v>
      </c>
      <c r="C33" s="103"/>
      <c r="D33" s="32" t="str">
        <f t="shared" si="1"/>
        <v>#DIV/0!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hidden="1" customHeight="1">
      <c r="A34" s="3"/>
      <c r="B34" s="3" t="s">
        <v>115</v>
      </c>
      <c r="C34" s="103"/>
      <c r="D34" s="32">
        <f t="shared" si="1"/>
        <v>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hidden="1" customHeight="1">
      <c r="A35" s="3"/>
      <c r="B35" s="3" t="s">
        <v>116</v>
      </c>
      <c r="C35" s="103">
        <v>4868294.28</v>
      </c>
      <c r="D35" s="32" t="str">
        <f t="shared" si="1"/>
        <v>#DIV/0!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111" t="s">
        <v>117</v>
      </c>
      <c r="C36" s="114">
        <f>+ACTIF!D30+Journal_retraitement!I12-ACTIF!D29</f>
        <v>232091482</v>
      </c>
      <c r="D36" s="32">
        <f>C36/C38</f>
        <v>0.6092966647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111" t="s">
        <v>118</v>
      </c>
      <c r="C37" s="114">
        <f>+ACTIF!D29</f>
        <v>59095935</v>
      </c>
      <c r="D37" s="32">
        <f>C37/C38</f>
        <v>0.1551412218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107" t="s">
        <v>119</v>
      </c>
      <c r="C38" s="117">
        <f>C36+C25+C37</f>
        <v>380917040</v>
      </c>
      <c r="D38" s="118">
        <f>+D25+D36+D37</f>
        <v>1</v>
      </c>
      <c r="E38" s="3"/>
      <c r="F38" s="3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119"/>
      <c r="C39" s="120"/>
      <c r="D39" s="3"/>
      <c r="E39" s="3"/>
      <c r="F39" s="3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03"/>
      <c r="D40" s="3"/>
      <c r="E40" s="3"/>
      <c r="F40" s="3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104" t="s">
        <v>120</v>
      </c>
      <c r="D41" s="3"/>
      <c r="E41" s="3"/>
      <c r="F41" s="3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105"/>
      <c r="C42" s="10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107" t="s">
        <v>83</v>
      </c>
      <c r="C43" s="121" t="s">
        <v>84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111" t="s">
        <v>86</v>
      </c>
      <c r="C44" s="103" t="str">
        <f>+PASSIF!B16+Journal_retraitement!J9+Journal_retraitement!J11+Journal_retraitement!J13+Journal_retraitement!J15+Journal_retraitement!J17</f>
        <v>#ERROR!</v>
      </c>
      <c r="D44" s="122" t="str">
        <f>+C44/C67</f>
        <v>#ERROR!</v>
      </c>
      <c r="E44" s="123" t="s">
        <v>121</v>
      </c>
      <c r="F44" s="124" t="str">
        <f>+C44+C55</f>
        <v>#ERROR!</v>
      </c>
      <c r="G44" s="125" t="str">
        <f>+F44/C67</f>
        <v>#ERROR!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hidden="1" customHeight="1">
      <c r="A45" s="3"/>
      <c r="B45" s="111" t="s">
        <v>38</v>
      </c>
      <c r="C45" s="103">
        <v>3.5448E8</v>
      </c>
      <c r="D45" s="12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hidden="1" customHeight="1">
      <c r="A46" s="3"/>
      <c r="B46" s="111" t="s">
        <v>39</v>
      </c>
      <c r="C46" s="103"/>
      <c r="D46" s="12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hidden="1" customHeight="1">
      <c r="A47" s="3"/>
      <c r="B47" s="111" t="s">
        <v>88</v>
      </c>
      <c r="C47" s="103">
        <v>2575000.0</v>
      </c>
      <c r="D47" s="12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hidden="1" customHeight="1">
      <c r="A48" s="3"/>
      <c r="B48" s="111" t="s">
        <v>89</v>
      </c>
      <c r="C48" s="103"/>
      <c r="D48" s="12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hidden="1" customHeight="1">
      <c r="A49" s="3"/>
      <c r="B49" s="111" t="s">
        <v>91</v>
      </c>
      <c r="C49" s="103"/>
      <c r="D49" s="1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hidden="1" customHeight="1">
      <c r="A50" s="3"/>
      <c r="B50" s="111" t="s">
        <v>93</v>
      </c>
      <c r="C50" s="103">
        <v>-1.5434408848E8</v>
      </c>
      <c r="D50" s="1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hidden="1" customHeight="1">
      <c r="A51" s="3"/>
      <c r="B51" s="111" t="s">
        <v>95</v>
      </c>
      <c r="C51" s="103">
        <v>-4.3876674721E8</v>
      </c>
      <c r="D51" s="1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hidden="1" customHeight="1">
      <c r="A52" s="3"/>
      <c r="B52" s="111" t="s">
        <v>97</v>
      </c>
      <c r="C52" s="103"/>
      <c r="D52" s="1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hidden="1" customHeight="1">
      <c r="A53" s="3"/>
      <c r="B53" s="111" t="s">
        <v>99</v>
      </c>
      <c r="C53" s="103"/>
      <c r="D53" s="12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hidden="1" customHeight="1">
      <c r="A54" s="3"/>
      <c r="B54" s="111" t="s">
        <v>101</v>
      </c>
      <c r="C54" s="113">
        <f>SUM(C45:C51)</f>
        <v>-236055835.7</v>
      </c>
      <c r="D54" s="12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111" t="s">
        <v>102</v>
      </c>
      <c r="C55" s="103">
        <f>+PASSIF!B22+Journal_retraitement!J30+Journal_retraitement!J31+Journal_retraitement!J32</f>
        <v>54773407</v>
      </c>
      <c r="D55" s="122" t="str">
        <f>+C55/C67</f>
        <v>#ERROR!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3"/>
      <c r="B56" s="111" t="s">
        <v>51</v>
      </c>
      <c r="C56" s="103">
        <v>9684114.82</v>
      </c>
      <c r="D56" s="12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3"/>
      <c r="B57" s="111" t="s">
        <v>52</v>
      </c>
      <c r="C57" s="103"/>
      <c r="D57" s="12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3"/>
      <c r="B58" s="111" t="s">
        <v>53</v>
      </c>
      <c r="C58" s="103"/>
      <c r="D58" s="12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3"/>
      <c r="B59" s="111" t="s">
        <v>107</v>
      </c>
      <c r="C59" s="103">
        <v>4.048656125E7</v>
      </c>
      <c r="D59" s="12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3"/>
      <c r="B60" s="111" t="s">
        <v>101</v>
      </c>
      <c r="C60" s="113">
        <f>SUM(C56:C59)</f>
        <v>50170676.07</v>
      </c>
      <c r="D60" s="12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111" t="s">
        <v>122</v>
      </c>
      <c r="C61" s="103">
        <f>Journal_retraitement!H30+Journal_retraitement!H31+Journal_retraitement!H32</f>
        <v>45041000</v>
      </c>
      <c r="D61" s="126" t="str">
        <f>+C61/C67</f>
        <v>#ERROR!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3"/>
      <c r="B62" s="115" t="s">
        <v>57</v>
      </c>
      <c r="C62" s="103">
        <v>1.5960828461E8</v>
      </c>
      <c r="D62" s="11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3"/>
      <c r="B63" s="115" t="s">
        <v>58</v>
      </c>
      <c r="C63" s="103">
        <v>1.204238274E7</v>
      </c>
      <c r="D63" s="11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3"/>
      <c r="B64" s="115" t="s">
        <v>59</v>
      </c>
      <c r="C64" s="103">
        <v>6.489704623E8</v>
      </c>
      <c r="D64" s="11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3"/>
      <c r="B65" s="115" t="s">
        <v>60</v>
      </c>
      <c r="C65" s="103"/>
      <c r="D65" s="11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3"/>
      <c r="B66" s="115" t="s">
        <v>101</v>
      </c>
      <c r="C66" s="116">
        <f>SUM(C62:C65)</f>
        <v>820621129.7</v>
      </c>
      <c r="D66" s="11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107" t="s">
        <v>113</v>
      </c>
      <c r="C67" s="116" t="str">
        <f>+C44+C55+C61</f>
        <v>#ERROR!</v>
      </c>
      <c r="D67" s="126" t="str">
        <f>SUM(D44:D66)</f>
        <v>#ERROR!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10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10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10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10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10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10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10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10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10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10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10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10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10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10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10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10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10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10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10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10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10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10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10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10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10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10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10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10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10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10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10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10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10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10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10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10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10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10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10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10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10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10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10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10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10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10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10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10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10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10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10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10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10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10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10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10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10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10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10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10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10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10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10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10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10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10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10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10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10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10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10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10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10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10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10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10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10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10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10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10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10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10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10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10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10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10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10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10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10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10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10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10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10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10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10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10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10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10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10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10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10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10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10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10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10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10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10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10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10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10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10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10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10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10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10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10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10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10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10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10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10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10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10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10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10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10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10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10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10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10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10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10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10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10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10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10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10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10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10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10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10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10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10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10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10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10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10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10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10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10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10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10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10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10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10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10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10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10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10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10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10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10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10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10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10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10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10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10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10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10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10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10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10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10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10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10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10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10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10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10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10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10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10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10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10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10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10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10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10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10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10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10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10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10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10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10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10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10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10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10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10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10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10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10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10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10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10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10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10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10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10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10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10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10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10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10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10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10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10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10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10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10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10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10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10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10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10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10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10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10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10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10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10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10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10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10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10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10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10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10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10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10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10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10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10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10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10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10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10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10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10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10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10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10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10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10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10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10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10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10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10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10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10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10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10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10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10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10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10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10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10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10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10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10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10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10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10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10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10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10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10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10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10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10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10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10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10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10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10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10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10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10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10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10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10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10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10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10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10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10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10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10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10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10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10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10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10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10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10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10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10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10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10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10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10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10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10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10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10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10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10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10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10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10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10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10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10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10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10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10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10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10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10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10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10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10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10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10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10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10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10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10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10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10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10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10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10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10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10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10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10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10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10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10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10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10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10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10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10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10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10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10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10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10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10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10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10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10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10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10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10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10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10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10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10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10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10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10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10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10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10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10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10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10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10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10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10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10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10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10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10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10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10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10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10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10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10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10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10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10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10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10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10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10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10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10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10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10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10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10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10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10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10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10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10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10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10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10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10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10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10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10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10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10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10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10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10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10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10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10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10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10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10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10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10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10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10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10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10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10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10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10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10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10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10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10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10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10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10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10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10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10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10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10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10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10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10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10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10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10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10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10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10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10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10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10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10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10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10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10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10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10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10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10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10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10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10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10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10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10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10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10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10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10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10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10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10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10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10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10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10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10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10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10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10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10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10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10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10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10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10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10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10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10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10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10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10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10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10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10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10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10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10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10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10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10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10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10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10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10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10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10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10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10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10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10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10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10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10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10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10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10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10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10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10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10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10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10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10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10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10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10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10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10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10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10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10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10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10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10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10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10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10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10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10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10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10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10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10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10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10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10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10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10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10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10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10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10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10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10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10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10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10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10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10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10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10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10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10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10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10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10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10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10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10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10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10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10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10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10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10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10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10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10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10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10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10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10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10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10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10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10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10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10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10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10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10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10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10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10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10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10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10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10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10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10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10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10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10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10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10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10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10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10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10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10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10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10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10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10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10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10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10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10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10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10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10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10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10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10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10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10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10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10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10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10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10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10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10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10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10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10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10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10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10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10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10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10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10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10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10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10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10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10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10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10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10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10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10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10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10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10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10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10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10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10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10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10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10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10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10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10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10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10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10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10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10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10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10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10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10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10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10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10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10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10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10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10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10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10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10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10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10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10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10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10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10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10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10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10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10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10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10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10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10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10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10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10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10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10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10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10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10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10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10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10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10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10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10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10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10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10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10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10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10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10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10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10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10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10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10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10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10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10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10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10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10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10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10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10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10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10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10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10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10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10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10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10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10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10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10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10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10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10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10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10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10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10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10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10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10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10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10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10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10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10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10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10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10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10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10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10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10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10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10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10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10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10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10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10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10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10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10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10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10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10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10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10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10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10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10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10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10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10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10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10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10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10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10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10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10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10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10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10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10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10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10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10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10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10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10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10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10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10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10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10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10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10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10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10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10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10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10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10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10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10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10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10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10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10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10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10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10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10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10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10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10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10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10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10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10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10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10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10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10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10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10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10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10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10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10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10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10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10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10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10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10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10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10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10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10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10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10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10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10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10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10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10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10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10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10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10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10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10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10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10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10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10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10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10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10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10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10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10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10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10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10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10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10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10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10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10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10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10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10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10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10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10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10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10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10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10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10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10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10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10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10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10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10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10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10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10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10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10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10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10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10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10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10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10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10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10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10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B5:C5"/>
    <mergeCell ref="F5:G5"/>
    <mergeCell ref="B41:C41"/>
    <mergeCell ref="E44:E55"/>
    <mergeCell ref="F44:F55"/>
    <mergeCell ref="G44:G55"/>
  </mergeCells>
  <printOptions/>
  <pageMargins bottom="0.3" footer="0.0" header="0.0" left="0.7" right="0.7" top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29"/>
    <col customWidth="1" min="2" max="2" width="21.57"/>
    <col customWidth="1" min="3" max="3" width="21.14"/>
    <col customWidth="1" min="4" max="4" width="16.29"/>
    <col customWidth="1" min="5" max="5" width="18.29"/>
    <col customWidth="1" min="6" max="6" width="10.86"/>
    <col customWidth="1" min="7" max="26" width="8.71"/>
  </cols>
  <sheetData>
    <row r="1">
      <c r="A1" s="3"/>
      <c r="B1" s="3"/>
      <c r="C1" s="3"/>
      <c r="D1" s="3"/>
      <c r="E1" s="10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10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27" t="s">
        <v>2</v>
      </c>
      <c r="B3" s="3"/>
      <c r="C3" s="3"/>
      <c r="D3" s="3"/>
      <c r="E3" s="10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8" t="s">
        <v>3</v>
      </c>
      <c r="B4" s="129" t="s">
        <v>123</v>
      </c>
      <c r="C4" s="129" t="s">
        <v>124</v>
      </c>
      <c r="D4" s="130" t="s">
        <v>125</v>
      </c>
      <c r="E4" s="13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132" t="s">
        <v>126</v>
      </c>
      <c r="B5" s="133">
        <v>6.38069411E8</v>
      </c>
      <c r="C5" s="134">
        <v>6.9249058263E8</v>
      </c>
      <c r="D5" s="133">
        <f>(B5-C5)/ABS(C5)*100</f>
        <v>-7.858759815</v>
      </c>
      <c r="E5" s="10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2" t="s">
        <v>127</v>
      </c>
      <c r="B6" s="133"/>
      <c r="C6" s="134"/>
      <c r="D6" s="133"/>
      <c r="E6" s="10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2" t="s">
        <v>128</v>
      </c>
      <c r="B7" s="133"/>
      <c r="C7" s="134"/>
      <c r="D7" s="133"/>
      <c r="E7" s="10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2" t="s">
        <v>129</v>
      </c>
      <c r="B8" s="133"/>
      <c r="C8" s="134"/>
      <c r="D8" s="133"/>
      <c r="E8" s="10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5" t="s">
        <v>130</v>
      </c>
      <c r="B9" s="136">
        <f t="shared" ref="B9:C9" si="1">SUM(B5:B8)</f>
        <v>638069411</v>
      </c>
      <c r="C9" s="137">
        <f t="shared" si="1"/>
        <v>692490582.6</v>
      </c>
      <c r="D9" s="136">
        <f t="shared" ref="D9:D21" si="2">(B9-C9)/ABS(C9)*100</f>
        <v>-7.858759815</v>
      </c>
      <c r="E9" s="10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2" t="s">
        <v>131</v>
      </c>
      <c r="B10" s="133">
        <v>-1.1653629E7</v>
      </c>
      <c r="C10" s="134">
        <v>-1.348989297E7</v>
      </c>
      <c r="D10" s="133">
        <f t="shared" si="2"/>
        <v>13.61214632</v>
      </c>
      <c r="E10" s="10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2" t="s">
        <v>132</v>
      </c>
      <c r="B11" s="133">
        <v>-1.334362E7</v>
      </c>
      <c r="C11" s="134">
        <v>-2.376135361E7</v>
      </c>
      <c r="D11" s="133">
        <f t="shared" si="2"/>
        <v>43.84318243</v>
      </c>
      <c r="E11" s="10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5" t="s">
        <v>133</v>
      </c>
      <c r="B12" s="136">
        <f t="shared" ref="B12:C12" si="3">SUM(B10:B11)</f>
        <v>-24997249</v>
      </c>
      <c r="C12" s="137">
        <f t="shared" si="3"/>
        <v>-37251246.58</v>
      </c>
      <c r="D12" s="136">
        <f t="shared" si="2"/>
        <v>32.89553694</v>
      </c>
      <c r="E12" s="10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5" t="s">
        <v>134</v>
      </c>
      <c r="B13" s="138">
        <v>6.13072163E8</v>
      </c>
      <c r="C13" s="139">
        <f>C9+C12</f>
        <v>655239336.1</v>
      </c>
      <c r="D13" s="138">
        <f t="shared" si="2"/>
        <v>-6.435384863</v>
      </c>
      <c r="E13" s="10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2" t="s">
        <v>135</v>
      </c>
      <c r="B14" s="133">
        <v>-4.71719563E8</v>
      </c>
      <c r="C14" s="134">
        <v>-6.4509495154E8</v>
      </c>
      <c r="D14" s="133">
        <f t="shared" si="2"/>
        <v>26.87594875</v>
      </c>
      <c r="E14" s="10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2" t="s">
        <v>136</v>
      </c>
      <c r="B15" s="133">
        <v>-7763815.0</v>
      </c>
      <c r="C15" s="134">
        <v>-1.172316441E7</v>
      </c>
      <c r="D15" s="133">
        <f t="shared" si="2"/>
        <v>33.77372586</v>
      </c>
      <c r="E15" s="140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5" t="s">
        <v>137</v>
      </c>
      <c r="B16" s="136">
        <v>1.33588784E8</v>
      </c>
      <c r="C16" s="137">
        <f>C13+C14+C15</f>
        <v>-1578779.9</v>
      </c>
      <c r="D16" s="136">
        <f t="shared" si="2"/>
        <v>8561.520444</v>
      </c>
      <c r="E16" s="10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2" t="s">
        <v>138</v>
      </c>
      <c r="B17" s="133">
        <v>210767.0</v>
      </c>
      <c r="C17" s="134">
        <v>1824099.0</v>
      </c>
      <c r="D17" s="133">
        <f t="shared" si="2"/>
        <v>-88.44541881</v>
      </c>
      <c r="E17" s="10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32" t="s">
        <v>139</v>
      </c>
      <c r="B18" s="133">
        <v>-2689760.0</v>
      </c>
      <c r="C18" s="134">
        <v>-1367044.88</v>
      </c>
      <c r="D18" s="133">
        <f t="shared" si="2"/>
        <v>-96.75725643</v>
      </c>
      <c r="E18" s="10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32" t="s">
        <v>140</v>
      </c>
      <c r="B19" s="133">
        <v>-1.062257E8</v>
      </c>
      <c r="C19" s="134">
        <v>-1.017052535E7</v>
      </c>
      <c r="D19" s="133">
        <f t="shared" si="2"/>
        <v>-944.4465388</v>
      </c>
      <c r="E19" s="10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32" t="s">
        <v>141</v>
      </c>
      <c r="B20" s="133"/>
      <c r="C20" s="134">
        <v>1.94040537E7</v>
      </c>
      <c r="D20" s="133">
        <f t="shared" si="2"/>
        <v>-100</v>
      </c>
      <c r="E20" s="10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5" t="s">
        <v>142</v>
      </c>
      <c r="B21" s="136">
        <f t="shared" ref="B21:C21" si="4">SUM(B16:B20)</f>
        <v>24884091</v>
      </c>
      <c r="C21" s="137">
        <f t="shared" si="4"/>
        <v>8111802.57</v>
      </c>
      <c r="D21" s="136">
        <f t="shared" si="2"/>
        <v>206.7640119</v>
      </c>
      <c r="E21" s="10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32" t="s">
        <v>143</v>
      </c>
      <c r="B22" s="133"/>
      <c r="C22" s="134"/>
      <c r="D22" s="133"/>
      <c r="E22" s="10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32" t="s">
        <v>144</v>
      </c>
      <c r="B23" s="133"/>
      <c r="C23" s="134"/>
      <c r="D23" s="133"/>
      <c r="E23" s="10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35" t="s">
        <v>145</v>
      </c>
      <c r="B24" s="136">
        <f t="shared" ref="B24:C24" si="5">SUM(B22:B23)</f>
        <v>0</v>
      </c>
      <c r="C24" s="137">
        <f t="shared" si="5"/>
        <v>0</v>
      </c>
      <c r="D24" s="136"/>
      <c r="E24" s="10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5" t="s">
        <v>146</v>
      </c>
      <c r="B25" s="138">
        <f t="shared" ref="B25:C25" si="6">B21+B24</f>
        <v>24884091</v>
      </c>
      <c r="C25" s="139">
        <f t="shared" si="6"/>
        <v>8111802.57</v>
      </c>
      <c r="D25" s="138">
        <f>(B25-C25)/ABS(C25)*100</f>
        <v>206.7640119</v>
      </c>
      <c r="E25" s="10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32"/>
      <c r="B26" s="141"/>
      <c r="C26" s="142"/>
      <c r="D26" s="141"/>
      <c r="E26" s="10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32" t="s">
        <v>147</v>
      </c>
      <c r="B27" s="133">
        <v>-8003760.0</v>
      </c>
      <c r="C27" s="134">
        <v>-4720860.0</v>
      </c>
      <c r="D27" s="133">
        <f>(B27-C27)/ABS(C27)*100</f>
        <v>-69.54029562</v>
      </c>
      <c r="E27" s="10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2" t="s">
        <v>148</v>
      </c>
      <c r="B28" s="133">
        <v>5900438.0</v>
      </c>
      <c r="C28" s="134"/>
      <c r="D28" s="133"/>
      <c r="E28" s="10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35" t="s">
        <v>149</v>
      </c>
      <c r="B29" s="136">
        <v>6.38280179E8</v>
      </c>
      <c r="C29" s="137">
        <f>C9+C17+C20+C22</f>
        <v>713718735.3</v>
      </c>
      <c r="D29" s="136">
        <f t="shared" ref="D29:D31" si="7">(B29-C29)/ABS(C29)*100</f>
        <v>-10.56978787</v>
      </c>
      <c r="E29" s="10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43" t="s">
        <v>150</v>
      </c>
      <c r="B30" s="138">
        <v>-6.1549941E8</v>
      </c>
      <c r="C30" s="139">
        <f>C12+C14+C15+C18+C19+C23+C27+C28</f>
        <v>-710327792.8</v>
      </c>
      <c r="D30" s="138">
        <f t="shared" si="7"/>
        <v>13.34994685</v>
      </c>
      <c r="E30" s="10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43" t="s">
        <v>151</v>
      </c>
      <c r="B31" s="138">
        <v>2.2780768E7</v>
      </c>
      <c r="C31" s="139">
        <f>C29+C30</f>
        <v>3390942.57</v>
      </c>
      <c r="D31" s="138">
        <f t="shared" si="7"/>
        <v>571.8122625</v>
      </c>
      <c r="E31" s="10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44" t="s">
        <v>152</v>
      </c>
      <c r="B32" s="145"/>
      <c r="C32" s="145"/>
      <c r="D32" s="145"/>
      <c r="E32" s="10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44" t="s">
        <v>153</v>
      </c>
      <c r="B33" s="146"/>
      <c r="C33" s="146"/>
      <c r="D33" s="146"/>
      <c r="E33" s="10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35" t="s">
        <v>154</v>
      </c>
      <c r="B34" s="138">
        <f t="shared" ref="B34:C34" si="8">B31+B32-B33</f>
        <v>22780768</v>
      </c>
      <c r="C34" s="147">
        <f t="shared" si="8"/>
        <v>3390942.57</v>
      </c>
      <c r="D34" s="138">
        <f>(B34-C34)/ABS(C34)*100</f>
        <v>571.8122625</v>
      </c>
      <c r="E34" s="10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48" t="s">
        <v>155</v>
      </c>
      <c r="B35" s="149">
        <f t="shared" ref="B35:C35" si="9">+B34-B19-B20</f>
        <v>129006468</v>
      </c>
      <c r="C35" s="149">
        <f t="shared" si="9"/>
        <v>-5842585.78</v>
      </c>
      <c r="D35" s="1"/>
      <c r="E35" s="14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"/>
      <c r="B36" s="3"/>
      <c r="C36" s="3"/>
      <c r="D36" s="3"/>
      <c r="E36" s="10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50"/>
      <c r="D37" s="3"/>
      <c r="E37" s="10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10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1" t="s">
        <v>156</v>
      </c>
      <c r="C39" s="151" t="s">
        <v>157</v>
      </c>
      <c r="D39" s="10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52" t="s">
        <v>36</v>
      </c>
      <c r="B40" s="103" t="str">
        <f>[2]PASSIF!B16/1000000</f>
        <v>#ERROR!</v>
      </c>
      <c r="C40" s="103" t="str">
        <f>([2]ACTIF!B6+[2]ACTIF!B7+[2]ACTIF!B12)/1000000</f>
        <v>#ERROR!</v>
      </c>
      <c r="D40" s="10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53" t="s">
        <v>158</v>
      </c>
      <c r="B41" s="103" t="str">
        <f>[2]PASSIF!C16/1000000</f>
        <v>#ERROR!</v>
      </c>
      <c r="C41" s="103">
        <f>1411218208.18/1000000</f>
        <v>1411.218208</v>
      </c>
      <c r="D41" s="10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10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10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10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10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10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10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10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10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10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10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10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10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10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10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10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10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10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10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10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10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10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10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10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10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10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10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10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10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10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10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10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10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10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10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10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10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10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10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10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10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10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10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10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10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10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10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10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10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10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10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10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10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10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10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10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10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10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10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10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10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10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10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10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10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10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10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10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10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10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10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10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10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10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10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10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10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10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10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10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10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10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10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10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10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10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10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10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10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10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10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10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10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10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10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10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10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10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10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10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10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10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10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10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10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10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10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10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10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10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10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10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10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10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10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10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10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10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10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10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10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10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10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10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10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10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10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10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10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10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10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10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10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10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10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10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10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10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10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10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10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10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10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10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10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10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10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10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10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10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10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10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10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10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10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10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10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10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10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10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10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10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10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10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10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10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10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10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10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10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10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10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10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10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10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10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10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10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10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10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10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10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10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10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10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10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10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10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10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10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10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10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10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10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10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10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10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10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10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10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10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10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10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10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10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10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10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10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10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10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10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10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10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10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10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10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10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10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10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10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10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10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10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10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10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10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10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10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10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10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10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10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10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10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10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10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10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10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10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10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10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10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10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10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10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10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10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10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10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10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10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10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10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10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10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10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10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10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10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10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10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10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10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10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10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10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10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10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10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10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10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10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10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10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10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10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10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10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10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10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10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10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10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10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10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10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10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10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10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10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10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10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10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10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10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10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10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10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10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10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10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10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10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10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10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10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10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10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10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10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10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10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10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10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10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10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10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10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10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10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10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10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10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10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10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10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10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10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10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10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10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10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10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10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10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10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10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10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10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10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10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10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10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10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10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10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10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10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10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10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10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10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10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10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10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10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10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10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10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10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10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10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10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10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10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10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10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10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10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10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10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10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10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10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10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10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10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10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10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10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10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10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10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10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10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10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10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10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10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10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10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10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10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10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10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10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10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10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10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10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10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10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10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10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10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10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10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10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10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10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10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10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10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10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10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10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10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10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10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10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10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10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10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10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10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10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10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10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10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10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10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10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10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10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10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10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10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10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10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10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10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10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10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10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10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10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10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10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10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10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10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10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10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10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10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10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10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10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10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10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10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10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10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10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10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10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10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10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10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10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10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10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10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10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10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10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10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10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10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10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10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10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10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10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10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10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10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10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10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10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10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10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10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10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10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10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10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10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10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10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10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10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10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10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10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10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10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10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10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10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10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10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10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10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10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10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10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10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10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10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10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10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10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10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10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10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10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10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10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10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10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10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10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10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10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10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10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10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10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10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10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10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10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10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10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10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10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10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10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10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10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10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10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10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10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10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10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10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10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10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10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10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10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10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10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10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10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10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10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10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10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10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10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10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10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10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10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10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10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10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10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10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10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10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10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10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10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10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10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10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10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10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10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10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10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10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10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10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10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10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10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10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10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10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10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10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10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10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10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10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10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10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10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10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10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10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10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10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10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10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10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10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10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10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10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10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10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10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10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10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10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10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10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10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10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10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10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10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10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10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10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10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10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10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10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10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10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10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10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10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10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10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10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10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10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10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10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10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10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10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10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10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10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10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10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10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10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10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10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10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10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10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10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10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10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10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10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10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10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10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10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10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10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10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10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10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10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10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10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10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10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10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10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10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10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10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10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10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10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10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10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10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10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10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10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10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10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10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10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10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10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10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10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10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10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10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10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10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10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10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10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10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10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10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10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10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10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10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10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10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10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10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10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10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10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10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10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10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10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10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10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10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10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10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10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10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10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10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10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10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10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10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10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10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10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10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10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10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10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10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10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10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10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10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10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10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10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10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10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10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10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10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10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10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10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10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10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10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10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10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10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10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10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10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10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10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10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10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10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10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10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10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10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10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10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10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10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10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10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10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10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10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10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10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10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10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10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10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10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10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10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10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10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10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10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10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10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10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10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10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10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10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10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10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10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10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10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10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10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10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10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10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10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10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10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10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10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10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10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10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10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10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10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10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10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10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10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10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10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10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10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10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10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10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10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10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10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10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10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10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10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10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10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10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10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10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10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10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10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10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10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10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10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10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10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10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10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10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10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10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10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10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10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10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10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10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10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10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10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10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10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10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10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10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10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10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10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10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10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10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10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10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10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10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10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10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10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10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10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10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10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10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10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10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10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10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10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10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10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10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10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10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10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10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10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10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10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10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10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10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10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10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10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10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10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10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10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10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10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10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10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10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10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10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10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10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10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10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10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10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10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10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10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10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10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10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10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10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10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10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3" footer="0.0" header="0.0" left="0.7" right="0.7" top="0.3"/>
  <pageSetup paperSize="9" orientation="portrait"/>
  <drawing r:id="rId1"/>
</worksheet>
</file>